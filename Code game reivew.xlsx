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https://kuleuven-my.sharepoint.com/personal/yu_chen_kuleuven_be/Documents/gameReview/coding/"/>
    </mc:Choice>
  </mc:AlternateContent>
  <xr:revisionPtr revIDLastSave="3908" documentId="8_{550A094D-8FEA-924E-8CDA-F9221C8308A0}" xr6:coauthVersionLast="47" xr6:coauthVersionMax="47" xr10:uidLastSave="{436529E5-9FFB-D04E-9BB8-8EFDCCB3700C}"/>
  <bookViews>
    <workbookView xWindow="0" yWindow="600" windowWidth="28800" windowHeight="17400" activeTab="2" xr2:uid="{FB8D1D2E-104C-E344-A217-0D9C9C1B1C79}"/>
  </bookViews>
  <sheets>
    <sheet name="Sheet1" sheetId="1" r:id="rId1"/>
    <sheet name="Sheet2" sheetId="2" r:id="rId2"/>
    <sheet name="Papers" sheetId="3" r:id="rId3"/>
    <sheet name="RQ1ver3" sheetId="11" r:id="rId4"/>
    <sheet name="RQ1" sheetId="9" r:id="rId5"/>
    <sheet name="RQ2" sheetId="4" r:id="rId6"/>
    <sheet name="RQ2ver3" sheetId="10" r:id="rId7"/>
    <sheet name="RQ3" sheetId="5" r:id="rId8"/>
    <sheet name="RQ3ver2" sheetId="12" r:id="rId9"/>
    <sheet name="RQ4" sheetId="7" r:id="rId10"/>
    <sheet name="RQ5" sheetId="8" r:id="rId11"/>
    <sheet name="RQ5ver2" sheetId="13" r:id="rId12"/>
    <sheet name="RQ5ver3" sheetId="14" r:id="rId13"/>
  </sheets>
  <definedNames>
    <definedName name="_xlnm._FilterDatabase" localSheetId="12" hidden="1">RQ5ver3!$A$1:$E$29</definedName>
    <definedName name="_xlnm._FilterDatabase" localSheetId="1" hidden="1">Sheet2!$A$1:$F$64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7" i="10" l="1"/>
  <c r="O47" i="10"/>
  <c r="N47" i="10"/>
  <c r="M47" i="10"/>
  <c r="L47" i="10"/>
  <c r="K47" i="10"/>
  <c r="J47" i="10"/>
  <c r="I47" i="10"/>
  <c r="H47" i="10"/>
  <c r="G47" i="10"/>
  <c r="F47" i="10"/>
  <c r="E47" i="10"/>
  <c r="D47" i="10"/>
  <c r="C47" i="10"/>
  <c r="R5" i="10"/>
  <c r="R6" i="10"/>
  <c r="R7" i="10"/>
  <c r="R8" i="10"/>
  <c r="R9" i="10"/>
  <c r="R10" i="10"/>
  <c r="R11" i="10"/>
  <c r="R12" i="10"/>
  <c r="R13" i="10"/>
  <c r="R14"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R46" i="10"/>
  <c r="R4" i="10"/>
  <c r="Q5" i="10"/>
  <c r="Q6" i="10"/>
  <c r="Q7" i="10"/>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tc={10FF5215-5EE1-9347-B4C2-0D40E738287D}</author>
  </authors>
  <commentList>
    <comment ref="O1" authorId="0" shapeId="0" xr:uid="{10FF5215-5EE1-9347-B4C2-0D40E738287D}">
      <text>
        <t>[Threaded comment]
Your version of Excel allows you to read this threaded comment; however, any edits to it will get removed if the file is opened in a newer version of Excel. Learn more: https://go.microsoft.com/fwlink/?linkid=870924
Comment:
    Boundaries can be open, and outcomes is not nesessary for games.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tc={EABAEA35-FC6D-DF4A-8519-DBC70BD2E605}</author>
  </authors>
  <commentList>
    <comment ref="D1" authorId="0" shapeId="0" xr:uid="{EABAEA35-FC6D-DF4A-8519-DBC70BD2E605}">
      <text>
        <t>[Threaded comment]
Your version of Excel allows you to read this threaded comment; however, any edits to it will get removed if the file is opened in a newer version of Excel. Learn more: https://go.microsoft.com/fwlink/?linkid=870924
Comment:
    For 0, using exsiting games, or common daily life activities simulation.</t>
      </text>
    </comment>
  </commentList>
</comments>
</file>

<file path=xl/sharedStrings.xml><?xml version="1.0" encoding="utf-8"?>
<sst xmlns="http://schemas.openxmlformats.org/spreadsheetml/2006/main" count="1649" uniqueCount="694">
  <si>
    <t>Title</t>
  </si>
  <si>
    <t>Year</t>
  </si>
  <si>
    <t>#</t>
  </si>
  <si>
    <t>Game</t>
  </si>
  <si>
    <t>Unobtrusive Monitoring of Computer Interactions to  Detect Cognitive Status in Elders</t>
  </si>
  <si>
    <t>First Author</t>
  </si>
  <si>
    <t>Holly Jimison</t>
  </si>
  <si>
    <t>Freecell</t>
  </si>
  <si>
    <t>Monitoring Computer Interactions to Detect Early Cognitive Impairment in Elders</t>
  </si>
  <si>
    <t>Embedded Assessment Algorithms within Home-Based Cognitive Computer Game Exercises for Elders</t>
  </si>
  <si>
    <t>A framework for cognitive monitoring using computer game interactions</t>
  </si>
  <si>
    <t>Home-Based Cognitive Monitoring Using Embedded Measures of Verbal Fluency in a Computer Word Game</t>
  </si>
  <si>
    <t>Word game</t>
  </si>
  <si>
    <t>Do we count this?</t>
  </si>
  <si>
    <t>James A. McKanna</t>
  </si>
  <si>
    <t>Divided Attention in Computer Game Play: Analysis Utilizing Unobtrusive Health Monitoring</t>
  </si>
  <si>
    <t>Blackjack variety</t>
  </si>
  <si>
    <t>A games suite</t>
  </si>
  <si>
    <t>An Interactive User Interface System for Alzheimerʼs Intervention</t>
  </si>
  <si>
    <t>Fillia Makedon</t>
  </si>
  <si>
    <t>ZPLAY</t>
  </si>
  <si>
    <t>Fun Cube</t>
  </si>
  <si>
    <t>Combine Wireless Sensor Network and Multimedia Technologies for Cognitive Function Assessment</t>
  </si>
  <si>
    <t>Hening Li</t>
  </si>
  <si>
    <t>VREAD : A Virtual Simulation to Investigate Cognitive Function in the Elderly</t>
  </si>
  <si>
    <t>Syadiah Nor Wan Shamsuddin</t>
  </si>
  <si>
    <t>VREAD</t>
  </si>
  <si>
    <t>An Innovative Virtual Reality System for Mild  Cognitive Impairment: Diagnosis and Evaluation</t>
  </si>
  <si>
    <t>A virtual convenience store</t>
  </si>
  <si>
    <t>Shih-Ching Yeh</t>
  </si>
  <si>
    <t>Developing a Serious Game for Cognitive Assessment: Choosing Settings and Measuring Performance</t>
  </si>
  <si>
    <t>Tiffany Tong</t>
  </si>
  <si>
    <t>whack-a-mole</t>
  </si>
  <si>
    <t>Dani Tost</t>
  </si>
  <si>
    <t>SmartAgeing: a 3D serious game for early detection of mild cognitive impairments</t>
  </si>
  <si>
    <t>RehabCity: Design and Validation of a Cognitive Assessment and Rehabilitation Tool through Gamified Simulations of Activities of Daily Living</t>
  </si>
  <si>
    <t>Athanasios Vourvopoulos</t>
  </si>
  <si>
    <t>RehabCity</t>
  </si>
  <si>
    <t>Design of Games for Measurement of  Cognitive Impairment</t>
  </si>
  <si>
    <t>Bruce Wallace</t>
  </si>
  <si>
    <t>Carleton Word Search Game (CWG) and Carleton Sudoku Game (CSG)</t>
  </si>
  <si>
    <t>Serious games for screening pre-dementia conditions: from virtuality to reality? A pilot project</t>
  </si>
  <si>
    <t>Chiara Zucchella</t>
  </si>
  <si>
    <t>‘Kitchen and cooking,’ a serious game for mild cognitive impairment and Alzheimer’s disease: a pilot study</t>
  </si>
  <si>
    <t>Kitchen and cooking</t>
  </si>
  <si>
    <t>Valeria Manera</t>
  </si>
  <si>
    <t>Monitoring the Early Signs of Cognitive  Decline in Elderly by Computer Games: An  MRI Study</t>
  </si>
  <si>
    <t>Enikő Sirály</t>
  </si>
  <si>
    <t>Find the Pairs</t>
  </si>
  <si>
    <t>On the Comparison of a Novel Serious Game and Electroencephalography Biomarkers for Early Dementia Screening</t>
  </si>
  <si>
    <t>Ioannis Tarnanas</t>
  </si>
  <si>
    <t>Virtual action planning museum (VAP-M)</t>
  </si>
  <si>
    <t>Rapid Deployment and Evaluation of Mobile Serious Games: A  Cognitive Assessment Case Study</t>
  </si>
  <si>
    <t>Early Detection of Cognitive Impairments  with the Smart Ageing Serious Game</t>
  </si>
  <si>
    <t>Vanessa Vallejo</t>
  </si>
  <si>
    <t>A virtual scenario consisting of 4 daily living tasks</t>
  </si>
  <si>
    <t>Combining qualitative and quantitative methods to analyze Serious Games outcomes: a pilot study for a new cognitive screening tool</t>
  </si>
  <si>
    <t>Can a Virtual Reality Cognitive Training  Application Fulfill a Dual Role? Using the  Virtual Supermarket Cognitive Training  Application as a Screening Tool for Mild  Cognitive Impairment</t>
  </si>
  <si>
    <t>Stelios Zygouris</t>
  </si>
  <si>
    <t>Virtual supermarket (VSM)</t>
  </si>
  <si>
    <t>Evaluating a Gaming System for Cognitive Screening and Sleep Duration Assessment of Elderly Players: A Pilot Study</t>
  </si>
  <si>
    <t>Costas Boletsis</t>
  </si>
  <si>
    <t>Smartkuber</t>
  </si>
  <si>
    <t>Smartkuber: A Serious Game for Cognitive Health Screening of Elderly Players</t>
  </si>
  <si>
    <t>Evaluation of cognitive functions of aged patients using video games</t>
  </si>
  <si>
    <t>Eight mini-games</t>
  </si>
  <si>
    <t>Design, Implementation, and Wide Pilot Deployment  of FitForAll: An Easy to use Exergaming Platform  Improving Physical Fitness and Life  Quality of Senior Citizens</t>
  </si>
  <si>
    <t>Evdokimos I. Konstantinidis</t>
  </si>
  <si>
    <t>FitForAll</t>
  </si>
  <si>
    <t>A Serious Game for Clinical Assessment of Cognitive Status: Validation Study</t>
  </si>
  <si>
    <t>Cognition Assessment:  A Framework for Episodic Measurement</t>
  </si>
  <si>
    <t>?</t>
  </si>
  <si>
    <t>Sara Bottiroli</t>
  </si>
  <si>
    <t>Smart Aging Platform for Evaluating Cognitive Functions in Aging: A Comparison with the MoCA in a Normal Population</t>
  </si>
  <si>
    <t>Smart Aging</t>
  </si>
  <si>
    <t>The acceptability of TV-based game platforms as an instrument to support the cognitive evaluation of senior adults at home</t>
  </si>
  <si>
    <t>Carlos Rivas Costa</t>
  </si>
  <si>
    <t>Can Card Games Be Used to Assess Mild Cognitive Impairment? A Study of Klondike Solitaire and Cognitive Functions</t>
  </si>
  <si>
    <t>Klondike Solitaire</t>
  </si>
  <si>
    <t>Karsten Gielis</t>
  </si>
  <si>
    <t>The Application of Individual Virtual Nostalgic Game Design to the Evaluation of Cognitive Function</t>
  </si>
  <si>
    <t>A nostalgic Game</t>
  </si>
  <si>
    <t>Development of a Game-based Cognitive Measures System for Elderly on the Basis of Mini-Mental State Examination</t>
  </si>
  <si>
    <t>Kuo-Yu Liu</t>
  </si>
  <si>
    <t>A kinect-based game</t>
  </si>
  <si>
    <t>A TV-based game platform</t>
  </si>
  <si>
    <t>Design process and preliminary psychometric study of a video game to detect cognitive impairment in senior adults</t>
  </si>
  <si>
    <t>Sonia Valladares-Rodriguez</t>
  </si>
  <si>
    <t>Panoramix</t>
  </si>
  <si>
    <t>Monitoring Cognitive Ability in Patients with Moderate Dementia Using a Modified “Whack-a-Mole”</t>
  </si>
  <si>
    <t>whack-a-mole (2)</t>
  </si>
  <si>
    <t>Fun cube based brain gym cognitive function assessment system</t>
  </si>
  <si>
    <t>Tao Zhang</t>
  </si>
  <si>
    <t>A Preliminary Study on the Feasibility  of Using a Virtual Reality Cognitive  Training Application for Remote Detection  of Mild Cognitive Impairment</t>
  </si>
  <si>
    <t>Estimating Mini Mental State Examination Scores using Game-Specific  Performance Values: A Preliminary Study</t>
  </si>
  <si>
    <t>Hee-Tae Jung</t>
  </si>
  <si>
    <t>Neuro-World</t>
  </si>
  <si>
    <t>Nothing is More Revealing than Body Movement: Measuring the Movement Kinematics in VR to Screen Dementia</t>
  </si>
  <si>
    <t>Kyoungwon Seo</t>
  </si>
  <si>
    <t>An immersive virtual daily living test</t>
  </si>
  <si>
    <t>Episodix: a serious game to detect cognitive impairment in senior adults. A psychometric study</t>
  </si>
  <si>
    <t>Learning to Detect Cognitive Impairment through Digital Games and Machine Learning Techniques</t>
  </si>
  <si>
    <t>Detecting Cognitive Ability Changes in Patients  With Moderate Dementia Using a Modified  “Whack-a-Mole” Game</t>
  </si>
  <si>
    <t>Towards Long-term Tracking and Detection of Early Dementia: A Computerized Cognitive Test Battery with Gamification</t>
  </si>
  <si>
    <t>Zhiwei Zeng</t>
  </si>
  <si>
    <t>Virtual ADL+ House</t>
  </si>
  <si>
    <t>Serious Games and ML for Detecting MCI</t>
  </si>
  <si>
    <t>Mahmood Aljumaili</t>
  </si>
  <si>
    <t>WarCAT</t>
  </si>
  <si>
    <t>Virtual Reality for Screening of Cognitive Function in Older Persons: Comparative Study</t>
  </si>
  <si>
    <t>Sean Ing Loon Chua</t>
  </si>
  <si>
    <t>RE@CH</t>
  </si>
  <si>
    <t>Freecell (2)</t>
  </si>
  <si>
    <t>Age? It’s in the Game: An Exploratory Study on Detection  of Cognitive Aging through Card Games</t>
  </si>
  <si>
    <t>Exploring the Touch and Motion Features in Game-Based Cognitive Assessments</t>
  </si>
  <si>
    <t>Jittrapol Intarasirisawat</t>
  </si>
  <si>
    <t>Tetris, Fruit Ninja and Candy Crush Saga</t>
  </si>
  <si>
    <t>Remote Assessment of Cognitive Impairment  Level Based on Serious Mobile Game  Performance: An Initial Proof of Concept</t>
  </si>
  <si>
    <t>A Machine Learning Approach to the Early  Diagnosis of Alzheimer’s Disease Based  on an Ensemble of Classifiers</t>
  </si>
  <si>
    <t>Sonia Valladares-Rodríguez</t>
  </si>
  <si>
    <t>Touchscreen games to detect cognitive impairment in senior adults. A userinteraction pilot study</t>
  </si>
  <si>
    <t>Augmented Reality for Early  Alzheimer’s Disease Diagnosis</t>
  </si>
  <si>
    <t>Alla Vovk</t>
  </si>
  <si>
    <t>HoloLens spatial game environment</t>
  </si>
  <si>
    <t>Age-Associated Capacity to Progress When Playing Cognitive Mobile Games: Ecological Retrospective Observational Study</t>
  </si>
  <si>
    <t>Bruno Bonnechère</t>
  </si>
  <si>
    <t>Evaluation of the Reaction Time and Accuracy Rate in Normal Subjects, MCI, and Dementia Using Serious Games</t>
  </si>
  <si>
    <t>Yen-Ting Chen</t>
  </si>
  <si>
    <t>Whack-a-Mole (3) and Hit-the-Ball</t>
  </si>
  <si>
    <t>Dissecting Digital Card Games to Yield Digital Biomarkers for the Assessment of Mild Cognitive Impairment: Methodological Approach and Exploratory Study</t>
  </si>
  <si>
    <t>Detecting Mild Cognitive Impairment via Digital Biomarkers of Cognitive Performance Found in Klondike Solitaire: A Machine-Learning Study</t>
  </si>
  <si>
    <t>A Comparison of Traditional and Serious  Game-Based Digital Markers of Cognition  in Older Adults with Mild Cognitive  Impairment and Healthy Controls</t>
  </si>
  <si>
    <t>Paraskevi Iliadou</t>
  </si>
  <si>
    <t>Diagnostic Validity of the Smart Aging  Serious Game: An Innovative Tool for  Digital Phenotyping of Mild Neurocognitive  Disorder</t>
  </si>
  <si>
    <t>Sara Isernia</t>
  </si>
  <si>
    <t>Mild Cognitive Impairment Detection Using Machine Learning Models Trained on Data Collected from Serious Games</t>
  </si>
  <si>
    <t>Christos Karapapas</t>
  </si>
  <si>
    <t>COGNIPLAT</t>
  </si>
  <si>
    <t>Physical Training In-Game Metrics for Cognitive Assessment: Evidence from Extended Trials with the Fitforall Exergaming Platform</t>
  </si>
  <si>
    <t>VSIDCS</t>
  </si>
  <si>
    <t>A Pilot Tool of the Virtual Scenario Initial Dementia Cognitive Screening (VSIDCS) with a Cultural Exhibition for Improving the Standard Traditional Test</t>
  </si>
  <si>
    <t>Cheng-Li Liu</t>
  </si>
  <si>
    <t>Feasibility of Repeated Assessment of Cognitive Function in Older Adults Using a Wireless, Mobile, Dry-EEG Headset and Tablet-Based Games</t>
  </si>
  <si>
    <t>Esther C. McWilliams</t>
  </si>
  <si>
    <t>the Cumulus Neuroscience</t>
  </si>
  <si>
    <t>A Machine-Learning-Based Assessment Method  for Early-Stage Neurocognitive Impairment by  an Immersive Virtual Supermarket</t>
  </si>
  <si>
    <t>Chia-Fen Tsai</t>
  </si>
  <si>
    <t>VRSupermarket</t>
  </si>
  <si>
    <t>A Serious Mobile Game for Neurodegenerative Diseases Rehabilitation and Risk Estimation</t>
  </si>
  <si>
    <t>Huiguo Zhang</t>
  </si>
  <si>
    <t>Baduanjin</t>
  </si>
  <si>
    <t>Use of serious games for the assessment of mild cognitive impairment in the elderly</t>
  </si>
  <si>
    <t>Moon-gee CHOI</t>
  </si>
  <si>
    <t>Get Persimmon, Set the Table,and Elevator</t>
  </si>
  <si>
    <t>A Pilot Study on Interactive Multisensory Environments for Neuropsychological Assessment</t>
  </si>
  <si>
    <t>Mathyas Giudici</t>
  </si>
  <si>
    <t>Neuro-Psychological Test Suite (NEP)</t>
  </si>
  <si>
    <t>Applying Serious Games and Machine Learning for Cognitive Training and Screening: the COGNIPLAT Approach</t>
  </si>
  <si>
    <t>Christos Goumopoulos</t>
  </si>
  <si>
    <t>Identifying Deficient Cognitive Functions Using Computer Games: A Pilot Study</t>
  </si>
  <si>
    <t>Luciana Rita Guedes</t>
  </si>
  <si>
    <t>Pac-Man</t>
  </si>
  <si>
    <t>Analysis of Heart Rate Variability and Game Performance in Normal and Cognitively Impaired Elderly Subjects Using Serious Games</t>
  </si>
  <si>
    <t>Chun-Ju Hou</t>
  </si>
  <si>
    <t>User Friendly Minecraft Mod for Early Detection of  Alzheimer’s Disease in Young Adults</t>
  </si>
  <si>
    <t>Satoko Ito</t>
  </si>
  <si>
    <t>Minecraft Mod</t>
  </si>
  <si>
    <t>Bohee Lee</t>
  </si>
  <si>
    <t>Machine learning and Serious Game for the Early Diagnosis of Alzheimer’s Disease</t>
  </si>
  <si>
    <t>Samiha Mezrar</t>
  </si>
  <si>
    <t>AlzCoGame (Alzheimer Cognitive Game)</t>
  </si>
  <si>
    <t>CogWorldTravel: Design of a Game-Based  Cognitive Screening Instrument</t>
  </si>
  <si>
    <t>Fernanda T. Oliveira</t>
  </si>
  <si>
    <t>CogWorldTravel</t>
  </si>
  <si>
    <t>Evaluation of CogWorldTravel: A Serious Game for  Cognitive Screening</t>
  </si>
  <si>
    <t>Artificial Intelligence Applied to Video Game for Detection of Mild Cognitive Impairment</t>
  </si>
  <si>
    <t>Andres Ortega</t>
  </si>
  <si>
    <t>Neurocity</t>
  </si>
  <si>
    <t>Evaluation of the Predictive Ability and User Acceptance of Panoramix 2.0, an AI-Based E-Health Tool for the Detection of Cognitive Impairment</t>
  </si>
  <si>
    <t>The Spatial Performance Assessment for Cognitive Evaluation (SPACE): A Novel Game for the Early Detection of Cognitive</t>
  </si>
  <si>
    <t>Giorgio Colombo</t>
  </si>
  <si>
    <t>SPACE</t>
  </si>
  <si>
    <t>VR and EEG Combined Self-monitoring  Platform of Cognitive Care</t>
  </si>
  <si>
    <t>LUCY</t>
  </si>
  <si>
    <t>Predicting Cognitive Function Impairment through  Game-based Intelligence Tests Combined with Heart  Rate Variability in Older Adults</t>
  </si>
  <si>
    <t>Tso-Yen Mao</t>
  </si>
  <si>
    <t>the game-based intelligence test (GBIT)</t>
  </si>
  <si>
    <t>Designing and Evaluating MahjongBrain:  A Digital Cognitive Assessment Tool Through  Gamification</t>
  </si>
  <si>
    <t>MahjongBrain</t>
  </si>
  <si>
    <t>Jiaoyun Yang</t>
  </si>
  <si>
    <t>Validation and comparison of  virtual reality and 3D mobile games  for cognitive assessment against  ACE-III in 82 young participants</t>
  </si>
  <si>
    <t>Yesoda Bhargava</t>
  </si>
  <si>
    <t>Navigation Game, Hand-Eye Co-ordination Game and the Memory Game</t>
  </si>
  <si>
    <t>Detecting cognitive impairment through an age-friendly serious game: The development and usability of the Spatial Performance Assessment for Cognitive Evaluation (SPACE)</t>
  </si>
  <si>
    <t>Enhancing Elderly Exergaming With AI  Components for Assessing Cognitive Status</t>
  </si>
  <si>
    <t>Michail Danousis</t>
  </si>
  <si>
    <t>GAME2AWE</t>
  </si>
  <si>
    <t>System Development and Evaluation of HumanComputer Interaction Approach for Assessing Functional Impairment for People with Mild Cognitive Impairment: A Pilot Study</t>
  </si>
  <si>
    <t>Tian Su</t>
  </si>
  <si>
    <t>a 3D building block game</t>
  </si>
  <si>
    <t>Development of an Augmented-Reality-Based  Serious Game: A Cognitive Assessment Study</t>
  </si>
  <si>
    <t>Mahsa Farshi Taghavi</t>
  </si>
  <si>
    <t>a virtual kitchen game</t>
  </si>
  <si>
    <t>An Ensemble Learning Algorithm for Cognitive  Evaluation by an Immersive Virtual  Reality Supermarket</t>
  </si>
  <si>
    <t>Yifan Wang</t>
  </si>
  <si>
    <t>an Immersive Virtual  Reality Supermarket</t>
  </si>
  <si>
    <t>Early Detection and Intervention of Alzheimer's  disease Based on Game APP</t>
  </si>
  <si>
    <t>Yingjie Zhou</t>
  </si>
  <si>
    <t>A Chinese AD detection APP</t>
  </si>
  <si>
    <t>Relationship Between Within-Session Digital Motor Skill Acquisition and Alzheimer Disease Risk Factors Among the MindCrowd Cohort: Cross-Sectional Descriptive Study</t>
  </si>
  <si>
    <t>Andrew Hooyman</t>
  </si>
  <si>
    <t>Super G</t>
  </si>
  <si>
    <t>Deep learning inspired game-based cognitive assessment for early dementia detection</t>
  </si>
  <si>
    <t>Paramita Kundu Maji</t>
  </si>
  <si>
    <t>Two card games</t>
  </si>
  <si>
    <t>Automated MoCA Score Estimation Using  Eye-Gaze Data and Vision Transformers</t>
  </si>
  <si>
    <t>seven digital games</t>
  </si>
  <si>
    <t>Ten-Scenarios of Tablet-Based Virtual Environment  Game for Instrumental Activities of Daily Living  in iRBD Patients</t>
  </si>
  <si>
    <t>Jaehwan You</t>
  </si>
  <si>
    <t>ten scenarios of the tablet-based VR-IADL program</t>
  </si>
  <si>
    <t>Home Monitoring of Computer Interactions for the Early Detection of Dementia</t>
  </si>
  <si>
    <t>Collecting Digital Biomarkers on Cognitive Health  Through Computer Vision and Gameplay: an Image  Processing Toolkit for Card Games</t>
  </si>
  <si>
    <t>Gamification Technique to Estimate Mini Mental State Examination Scores: A Validation Study</t>
  </si>
  <si>
    <t>Muhammad Junaid Farrukh</t>
  </si>
  <si>
    <t>Holey Moley</t>
  </si>
  <si>
    <t>Raffaele Mineo</t>
  </si>
  <si>
    <t>An Immersive Virtual Reality Platform for Assessing Spatial Navigation Memory in Predementia Screening: Feasibility and Usability Study</t>
  </si>
  <si>
    <t>Kiran Ijaz</t>
  </si>
  <si>
    <t>Caregiver: An Application for The First Step in Alzheimer’s Disease Early Diagnosis</t>
  </si>
  <si>
    <t>Rana, Taki</t>
  </si>
  <si>
    <t>x</t>
  </si>
  <si>
    <t>Repeat</t>
  </si>
  <si>
    <t>Episodix</t>
  </si>
  <si>
    <t>Word Search and Sudoku</t>
  </si>
  <si>
    <t>Moon-Gee Choi</t>
  </si>
  <si>
    <t>Get Persimmon, Set the Table, Elevator</t>
  </si>
  <si>
    <t>Paper number</t>
  </si>
  <si>
    <t>Rule</t>
  </si>
  <si>
    <t>Procedures</t>
  </si>
  <si>
    <t>Objective</t>
  </si>
  <si>
    <t>Conflict</t>
  </si>
  <si>
    <t>Boundaries</t>
  </si>
  <si>
    <t>Resources</t>
  </si>
  <si>
    <t>Outcomes</t>
  </si>
  <si>
    <t>Note</t>
  </si>
  <si>
    <t xml:space="preserve">the users are given 7 letters of a scrambled word </t>
  </si>
  <si>
    <t xml:space="preserve">to create as many words as possible </t>
  </si>
  <si>
    <t>(3 letters and up) with more points for longer words</t>
  </si>
  <si>
    <t>Almost no description of the five mini-games. Only present the virtual environment.</t>
  </si>
  <si>
    <t>Classical game, simple and intuitive. So the rule, procedures are not mentioned. Outcome could be the final score, but not directly mentioned in the text.</t>
  </si>
  <si>
    <t>Total score</t>
  </si>
  <si>
    <t>words have been hidden</t>
  </si>
  <si>
    <t>A list of words to find, hints</t>
  </si>
  <si>
    <t>Games are classic, so the rule, procedure, objective, and outcome are not mentioned. Boundaris are the word grid and the number grid. Resources are mentioned in the "key features".</t>
  </si>
  <si>
    <t xml:space="preserve">Design Philosophy - 0: Serious games for assessment, 1:Gamified tests </t>
  </si>
  <si>
    <t>Evidence</t>
  </si>
  <si>
    <t>(Word search) We also defined a set of enjoyable computer games that could be adapted for cognitive monitoring.</t>
  </si>
  <si>
    <t>(Black Jack) 21 Tally was specifically developed to target divided attention as described below.</t>
  </si>
  <si>
    <t>Reference [29] proposed game attributes to meet users' requirements on the basis of psychological theories, such as cognitive, constructivist, behaviourist and neuroscience/  perspectives, for serious game design.</t>
  </si>
  <si>
    <t>(Free cell)</t>
  </si>
  <si>
    <t>(whack-a-mole) The game is based on the classic carnival game called ‘whack-a-mole’.</t>
  </si>
  <si>
    <t>In RehabCity we have created multiple in-game tasks, organized in difficulty levels that address the following cognitive domains: visuospatial orientation, attention, and executive functions. /  The implementation of these tasks sits in between the more traditional paper and pencil cancellation tasks.</t>
  </si>
  <si>
    <t>CWG (Word Search) and CSG (Sudoku) were chosen because they always have a success solution whereas many card games have luck of the deal and high potential for no complete solution.</t>
  </si>
  <si>
    <t>In each scenario, participants need: (a) to select the correct ingredients from the fridge and cupboards, a searching task with engages object recognition and sustained attention (gnosis activity); (b) to plan which actions need to be performed, and in which order, a task requiring planning abilities (executive functions activity); and finally, to perform specific gestures to accomplish each action (e.g., to rotate the finger to mix the ingredients), a task which requires praxis abilities (praxis activity).</t>
  </si>
  <si>
    <t>The test consists of five tasks addressing different cognitive aspects: executive functions (reasoning and planning), attention (selected and divided), memory (short and long term, perspective), orientation (visuo-spatial). Table 1 summarizes the tasks.</t>
  </si>
  <si>
    <t>Simulation, the narrative is cooking, then evaluate cognitve functions needed</t>
  </si>
  <si>
    <t>The VSM is designed to mimic daily shopping in a supermarket, one of the most common activities of daily living.</t>
  </si>
  <si>
    <t>Smartkuber was developed to be a stand-alone mobile game for tablets,..., supporting casual gaming, targeting both tactical and logistical players (motivated by Mastery, i.e., challenge and strategy, according to the Gamer Motivation Model26), and focusing on frequent gaming sessions.</t>
  </si>
  <si>
    <t>In our case, the games introduced can be classified into group 1 above. (Take an existing game and use it as a platform for creating cognitive measurable tasks  by modifying game parameters.)</t>
  </si>
  <si>
    <t>Not sure, edge case, no sufficent information from paper</t>
  </si>
  <si>
    <t>The game was based on nostalgia theory and the major themes were constructed according to the personal experiences of the participants. Because the elderly people in the study were Taiwanese, familiar objects from Taiwan’s 1940-1960 past were utilized.</t>
  </si>
  <si>
    <t>edge case. No narrative is shown in the simulation. But targeting cognitive functions for each task</t>
  </si>
  <si>
    <t>The system in order to effectively carry out cognitive function testing, in the development of the system before the analysis of a variety of cognitive function test scale. Finally, the MMSE simple mental scale was selected. In the subject of the detection of the system on the proposition of the MMSE simple mental scale of the proposition direction.</t>
  </si>
  <si>
    <t>the digital game implemented is based on the gamification of CVLT.</t>
  </si>
  <si>
    <t>The game design has two main parts. The first part, which is designed based on  the MoCA, checks the impact of using electric devices instead of paperwork.</t>
  </si>
  <si>
    <t>Simulation tasks: withdraw money, take a bus</t>
  </si>
  <si>
    <t>In Virtual ADL+ House, the game activities are designed in accordance with the daily activities in IADL. Although the mini-games do not involve many physical elements and have much simplified processes compared to the real-life activities, performance in the games can still be indicative of the ability or inability to perform the corresponding real-life activity, especially for activities like finance, medication and using telephone.</t>
  </si>
  <si>
    <t>The basic game is very simple and is a modification  of the familiar card game of WAR.</t>
  </si>
  <si>
    <t>The RE@CH assessment module (Figure 2) uses VR and motion sensor (Leap motion) technology to replicate activities encountered in daily living as 3D games (Figure 3).</t>
  </si>
  <si>
    <t>In particular, we investigate whether we can predict age group on the basis of game data of the popular card game FreeCell, one of the most popular games of the Microsoft Solitaire collection</t>
  </si>
  <si>
    <t>Taking elementary usability considerations into account such as larger font and object sizes, we also designed the interface by identifying and incorporating guidelines for older users. Over multiple iterations, we then revised the system based on input and feedback from clinical neuropsychologists with extensive experience in cognitive assessment for individuals living with MCI.</t>
  </si>
  <si>
    <t>Edge case.</t>
  </si>
  <si>
    <t>Based on the potential relationship between basic cognitive processes (i.e., memory and attention) that underlie the categories of MMSE, we developed Neuro-World – a collection of six serious mobile games – to assess the level of cognitive impairment. / Fig. 1 presents the conceptual connections between the Neuro-World games and the MMSE scores.</t>
  </si>
  <si>
    <t>Panoramix (cf. Fig. 2) is a collection of touchscreen games to detect cognitive impairment in seniors. It is composed of seven games to evaluate different cognitive areas, namely Episodix for episodic memory, Attentix for attention, Executix tackles executive functions, Workix evaluates working memory, Semantix for semantic memory, Procedurix addresses prospective memory, and finally Gnosix for gnosias. These games are based on the gamification [50] of classical neuropsychological tests [51–53] to provide an ecological, accessible and easy-to-use tool to detect MCI and AD in senior adults.</t>
  </si>
  <si>
    <t>Although not designed to measure cognition, COTS games are woven into the fabric of everyday life and may be able to provide digital biomarkers of cognitive performance that are reflective of cognitive status. This study aims to explore the possibility of using COTS card games to screen cognition among patients living with MCI.</t>
  </si>
  <si>
    <t>It consists of carefully designed games aimed at older adults’ physical exercise and the maintenance/advancement of a healthy physical status and wellbeing.  / The combination of games promoting physical exercise (aerobic, resistance, flexibility and balance) in an ordered sequence instantiates a physical training “session” which may stand on its own or be part of a whole intervention protocol.</t>
  </si>
  <si>
    <t>Three cognitive tasks were designed to focus on memory, executive function and calculation. Users were asked to memorize the shopping list, search for items on the shopping list and make a payment.</t>
  </si>
  <si>
    <t>narrative: shopping</t>
  </si>
  <si>
    <t>Propose a game design framework for gamifying Baduanjin Qigong exercise to motivate older adults to perform more exercise. • Movement data and the performance data in-game data are collected, and key features are recognized and extracted for neurodegenerative diseases risk evaluation.</t>
  </si>
  <si>
    <t>Playing Baduanjin is related to MCI, and gamified this.</t>
  </si>
  <si>
    <t>Simulation daily activities is test or not?</t>
  </si>
  <si>
    <t>Caregiver is an AI mobile application, which conducts the SAGE [8] test to its users, and suggests them to get medical help based on their results.</t>
  </si>
  <si>
    <t>Caregiver</t>
  </si>
  <si>
    <t>Three games are similar to some popular mini-games.</t>
  </si>
  <si>
    <t>For each game screen, design was carried out in the context of the focus group regarding: a) the selection of cognitive area to be focused; b) identification of the appropriate interaction design approach given the physiological and cognitive changes related to aging and MCI; and c) identification of the variables to be collected throughout game playing.</t>
  </si>
  <si>
    <t>Minecraft</t>
  </si>
  <si>
    <t>Based on the description in the paper. The core experience is similar to the standard MC</t>
  </si>
  <si>
    <t>The game’s objective is to correctly collect the five ingredients presented at the beginning of the game by the avatar (meat, onions, carrots, oil, and a packet of dough) (Figure 1) in order to prepare a meal (Figure 1).</t>
  </si>
  <si>
    <t>This task was inspired by the Warrington Recognition Memory Test for faces… he task is inspired by the assessment of language skills of the Montreal Cognitive Assessment (MoCA)… This task was inspired by the Corsi Blocks Test,</t>
  </si>
  <si>
    <t>Focused attention: based on the Choice Reaction Time (CRT) task (Levinoff et al. 2005), Selective attention: based on the Tricky ball task (Belchior et al. 2013),Working memory (also called ‘Recall’ in LUCY): based on the Corsi block-tapping task (Kessels et al. 2000),</t>
  </si>
  <si>
    <t>Good example that gamified test add narrative then enhancing the player experience</t>
  </si>
  <si>
    <t>Each game was designed in three steps: (1) selection of the cognitive domain to be evaluated; (2) identification of the most suitable design approach, and (3) identification of variables to be collected during the application’s usage, including the score of each cognitive domain, the time taken, the number of hands raised, and others.</t>
  </si>
  <si>
    <t xml:space="preserve">The machanisms are similar to platform jump game and beat saber. </t>
  </si>
  <si>
    <t>The game is set on a foreign planet inspired by the popular game No Man’s Sky (Hello Games, 2016).</t>
  </si>
  <si>
    <t>Strong narrative</t>
  </si>
  <si>
    <t>In this paper, we present a significant enhancement to the GAME2AWE platform's assessment capabilities through the integration of two novel ML models specifically designed to predict the cutoffs for the Trail Making Test A (TMT-A) and Trail Making Test B (TMT-B).</t>
  </si>
  <si>
    <t>Table II, is the match of MoCA to Tasks.</t>
  </si>
  <si>
    <t>Though the scenario is in a kitchen, however the tasks are not all related to cooking and it seems no narrative to link tasks.</t>
  </si>
  <si>
    <t>Subsequently, participants engaged in four mini-games designed to evaluate specific cognitive abilities. The Detection Test …</t>
  </si>
  <si>
    <t>Shopping, but two times and four cognitive function targeting mini-games in between.</t>
  </si>
  <si>
    <t xml:space="preserve">find-the-pair game </t>
  </si>
  <si>
    <t>The process started by collecting standard paper and pencil training tasks widely used in clinical environments. Subsequently, together with a rehabilitation physician, we selected 12 tasks considered to have more impact in the successful performance of ADLs.</t>
  </si>
  <si>
    <t>Simulation originally used for rehab., the tasks are for rehab. purpose then gamified.</t>
  </si>
  <si>
    <t>Narrative: shopping in a supermarket. Navigating in the palce while finding the items on the shopping list. In the end pay at the casher.</t>
  </si>
  <si>
    <t>assessing the level and game time, evidence of design as serious game</t>
  </si>
  <si>
    <t>The nostalgic content was based on clinical evaluations by a clinical psychiatrist and two psychologists, and the scores on a cognitive assessment scale: the Montreal Cognitive Assessment and Simple Mental / Cognitive Status Scale (MoCA).</t>
  </si>
  <si>
    <t>Rapid Visual Processing is a form of tapping test that is used for attention testing./ Adapted from the conventional Finger Tapping Test, the Simple Reaction Task is meant to assess motor speed as well as kinesthetic and visual-motor ability/ Adapted from the Motor Screening Test in the CANTAB battery ...</t>
  </si>
  <si>
    <t>Some tasks like identifying famous faces are also typical in cognitive tests.. Just not mentioned. Overall, researchers call these tasks, so their purpose was designing gamified tasks.</t>
  </si>
  <si>
    <t>The task involves a landmark recall test designed by author SN at the Brain and Mind Centre, The University of Sydney.</t>
  </si>
  <si>
    <t xml:space="preserve">Exergame used for assessment. But not clear whether the exercises are gamified tasks. By the description of mini-games, they are classical games. </t>
  </si>
  <si>
    <t>Role of older adults</t>
  </si>
  <si>
    <t>we conducted focus groups with older computer users to provide us with necessary background on existing computing and communications needs, as well as interface preferences.</t>
  </si>
  <si>
    <t>Infomants</t>
  </si>
  <si>
    <t>Not comprehensively reported</t>
  </si>
  <si>
    <t>In our needs assessment to define elders’ preferences for computer applications, games, and potential barriers to computer use, we used focus groups and surveys to help us define a set of features for an elder Web portal that we could use as a research environment to collect real-time interaction data.</t>
  </si>
  <si>
    <t>“21 Tally,” was developed along with several other games as a result of previous studies of aspects of gameplay contributing to cognition combined with focus group data regarding playability and game enjoyment.</t>
  </si>
  <si>
    <t>Users</t>
  </si>
  <si>
    <t>Testers</t>
  </si>
  <si>
    <r>
      <t>RehabCity has been designed based on a participatory approach [20] as an attempt to actively involve stakeholders (e.g. health professionals and</t>
    </r>
    <r>
      <rPr>
        <b/>
        <sz val="12"/>
        <color theme="1"/>
        <rFont val="Aptos Narrow"/>
        <scheme val="minor"/>
      </rPr>
      <t xml:space="preserve"> patients</t>
    </r>
    <r>
      <rPr>
        <sz val="12"/>
        <color theme="1"/>
        <rFont val="Aptos Narrow"/>
        <family val="2"/>
        <scheme val="minor"/>
      </rPr>
      <t>, in our case) in the design process of the game to ensure that the result is usable and meets the user’s needs.</t>
    </r>
  </si>
  <si>
    <t>Design partners</t>
  </si>
  <si>
    <t>A usability study was conducted at the Interactive Media Lab at the University of Toronto. • Can game performance data gathered on a touch-based device be modelled using Fitts’ Law and a speed-accuracy tradeoff function?  • Can an individual game performance metric be created that considers both speed and accuracy in an effective way?  • Can the whack-a-mole game predict cognitive ability?</t>
  </si>
  <si>
    <t>The usability study was not focus on user experience</t>
  </si>
  <si>
    <t>Self report questionnaires, Interest, satisfaction, motivation, PANAS, fatigue</t>
  </si>
  <si>
    <t>a usability test on 16 users aged from 55 to 82 (average age of 64.4)</t>
  </si>
  <si>
    <t>several older adults as game testers.</t>
  </si>
  <si>
    <t>A questionnaire based on TAM model</t>
  </si>
  <si>
    <t>The study use SUS scale to evaluate the ease use of the system and homemade observation record table to record the testing procedures.</t>
  </si>
  <si>
    <t>The video game, named Episodix, was designed according to a methodology based on  participatory design focused on the end user. The vision of senior adults captured in  participatory design workshops and focus groups (Diaz-Orueta et al., 2012; Liamputtong,  2011) drove the design process from a technical and aesthetical perspective.</t>
  </si>
  <si>
    <t>We used the TAM2 questionnaire to evaluate the subject’s science and technology  acceptance of this system on usage intention, perceived ease of use, entertainment, and  degree of preference.</t>
  </si>
  <si>
    <t>It seems previous design paper is not included</t>
  </si>
  <si>
    <t>Finally, the participants completed an interviewer-administered questionnaire to assess their perception toward VR</t>
  </si>
  <si>
    <t>The battery was designed according to a methodology based on participatory design focused on the end user, both senior adults and experts in neurology, neuropsychology and geriatrics, and patients' associations.</t>
  </si>
  <si>
    <t>GEQ</t>
  </si>
  <si>
    <t>In the COGNIPLAT project, the main idea was to design serious games for elderly people with the participation of a focus group, which assisted the development team in implementing the game platform, having an active role in the design of the game screens and taking part in the initial test phase to set the ground for the pilot study and the evaluation of the COGNIPLAT platform by the end-users. The focus group consisted of five (5) members which  were representing end-users with age and cognitive characteristics resembling the targeted user group that the platform aims to support.</t>
  </si>
  <si>
    <t>Game User Experience Satisfaction Scale (GUESS)</t>
  </si>
  <si>
    <t>narrative: shopping then cooking. The link between tasks is not strong based on the descriptions. Mini-games have targeting cognitive functions</t>
  </si>
  <si>
    <t>In the second phase, we interviewed six older adults aged 60+. They were asked to play the serious game. Then, we asked the following: (1) if they were able to understand the task from the tutorial, (2) if they had any issues playing the game, (3) if they enjoyed playing the game, and (4) how they would rate the game in terms of difficulty.</t>
  </si>
  <si>
    <t>In the survey of 33 representative samples from their 20s to 70s, we asked four questions of evaluating the general questions and three specific questions on using LUCY</t>
  </si>
  <si>
    <t>we administered standard questionnaires to them: Virtual Reality Sickness  Questionnaire, Virtual Reality Presence Questionnaire, and the System Usability Scale.</t>
  </si>
  <si>
    <t>After recording participants’ demographic information, we conducted the usability test in a private room, utilizing the System Usability Scale (SUS) [21], a widely used tool in system usability testing. In addition to SUS, we created a usability testing questionnaire that focused on the design aspects of the system, including the clarity of the screen layout, feedback speed, and the presence of errors.</t>
  </si>
  <si>
    <t>The questionnaire was based on the constructs of the Unified Theory of Acceptance and Use of Technology (UTAUT) model</t>
  </si>
  <si>
    <t>User study</t>
  </si>
  <si>
    <t>Instruments used</t>
  </si>
  <si>
    <t>No</t>
  </si>
  <si>
    <t>Yes</t>
  </si>
  <si>
    <t>SUS</t>
  </si>
  <si>
    <t>SUS-E</t>
  </si>
  <si>
    <t>TAM model</t>
  </si>
  <si>
    <t>TAM2 model</t>
  </si>
  <si>
    <t>Self questionnaire</t>
  </si>
  <si>
    <t>Players Experience of Need Satisfaction (PENS) and Intrinsic Motivation Inventory (IMI)</t>
  </si>
  <si>
    <t>SUS and self questionnaire</t>
  </si>
  <si>
    <t>UTAUT</t>
  </si>
  <si>
    <t>Almost no description, but Freecell is a famous commercial game.</t>
  </si>
  <si>
    <t>the users are given 7 letters of a scrambled word (conceptual boundaries)</t>
  </si>
  <si>
    <t>3 letters and up), with more points for longer words</t>
  </si>
  <si>
    <t>The screenshot shows more information than text. The rules and procedures are naturally reflected by objective and resources. Resources are also boundaries. The game is simple and intuitive. But the description is not comprehensive(by screenshots, there are more features). Readers have to guess.</t>
  </si>
  <si>
    <t>If the user is able to guess the longest word, he or she may go on to the next round (But it doesn’t provide how many levels and when is the end of the game. It can have an end but it's also possible that the game is infinity.)</t>
  </si>
  <si>
    <t>There are sixteen spaces on the board which can accept cards, arranged in a 4x4 grid</t>
  </si>
  <si>
    <t>A player draws cards randomly from the deck (at a fixed probability of 1/52 for each card) and then places the card into an open spot.</t>
  </si>
  <si>
    <t>If they make a row or column which sums to greater than 21, then they have made a bust. Making a certain number of busts (decreasing as level increases) will cause the player to lose the game.</t>
  </si>
  <si>
    <t>(52 cards, but not directly mentioned)</t>
  </si>
  <si>
    <t>If the player creates a row or a column that have values summing to 21 (facecards are worth 10, Aces are worth 1 or 11), then they have made a win and receive points. Making a certain number of wins (increasing as level increases) will allow the player to advance to the next level. Making either a tally or a bust will remove the participating cards from the game, freeing those spaces to be used again for future busts or tallies.</t>
  </si>
  <si>
    <t>Making a certain number of wins (increasing as level increases) will allow the player to advance to the next level. (But it doesn’t provide how many levels and when is the end of the game. It can have an end but it's also possible that the game is infinity.)</t>
  </si>
  <si>
    <t>Modification of classic card game. The rule is simple and itself is part of objective too. (But ture objective may be getting as many scores as possible?)</t>
  </si>
  <si>
    <t xml:space="preserve">The goal of the carnival version of the game is to whack a mole using a mallet. </t>
  </si>
  <si>
    <t>A condition was added where a second character (a distractor such as a picture of a butterfly) was sometimes shown, which the player was not supposed to hit.</t>
  </si>
  <si>
    <t xml:space="preserve">Game duration (seconds): This parameter allows the user to select the length of the game.  </t>
  </si>
  <si>
    <t>(Procedure is naturally reflected by goal?)</t>
  </si>
  <si>
    <t>(game duration?)</t>
  </si>
  <si>
    <t>Points are accumulated at each goal completion (+20) and at each intermediate task (+1), and points are subtracted (-1) whenever a mistake is performed or the player resorts to a so-called “map/objective” button for additional help.</t>
  </si>
  <si>
    <t>we recreated in VR a simulated city neighborhood of 386x358m2/ A final score of performance is not provided to avoid frustration and discouragement in case of negative feedback.</t>
  </si>
  <si>
    <t xml:space="preserve">The game is designed as an open-ended experience, organized in levels of predefined complexity. </t>
  </si>
  <si>
    <t>In RehabCity we have created multiple in-game tasks, organized in difficulty levels (but what is difficulty?)</t>
  </si>
  <si>
    <t>patients need to navigate through the city to go to the appropriate places for the in-game goals.</t>
  </si>
  <si>
    <t>in-game real-time map?</t>
  </si>
  <si>
    <t xml:space="preserve">The game goals are presented initially in a list that occupies the upper-half of the screen. Goals can be simple elementary instructions – “go to the supermarket” –, a list of them – “go to the supermarket”, then “buy bread and milk”, etc. – or problem solving tasks of different levels of complexity – “withdraw 50 euros from the cash machine” or “get some food for breakfast”  </t>
  </si>
  <si>
    <t>Life simulation. The rule is mentioned a bit however what kind of task is not clear. For procedures, where to start and how to reach the end of game is not clear. Objective is shown in the list but the content is unknown. The conflicts mentioned a bit (disctractors and the number of truns in wayfindings).</t>
  </si>
  <si>
    <t>a list of words to find</t>
  </si>
  <si>
    <t>The word search game presents the player with a grid of letters / a solution game grid that has some number of prefilled cells</t>
  </si>
  <si>
    <t>Depending on the scenario, the number of objects to be recognized ranges from 5 to 7, the number of executive functions activities ranges from 5 to 8, and the number of praxis ranges from 7 to 13.</t>
  </si>
  <si>
    <t>Cooking simulation. Rule is not clear, what if making wrong actions etc...? Procedures in a high level but we don't know what are the basic actions palyers can do. No objective, maybe implicilty as finishing dishes? No boundaries, resources are mentioned. Outcome is not mentioned, maybe finished all four dishes and win?</t>
  </si>
  <si>
    <t>Reffered to well-known existing games?</t>
  </si>
  <si>
    <t>The scenario represents a 3D home-like space (loft) providing a diversity of ambiances in one room</t>
  </si>
  <si>
    <t>Users click on a POI. Since the scenario is a closed space, all selections fall onto a surface of an environment. If the object at the POI is within the user’s avatar reach, the game performs the action associated with the object at that moment of the play, for instance picking, dropping or opening. •	Two types of input devices have been tested ....</t>
  </si>
  <si>
    <t>Tasks objectives</t>
  </si>
  <si>
    <t>The location of the objects in the scenario is configurable, so that the task can be realized several times with different challenges. /// Some of them are visible at a simple glance, but most of them require to open drawers or doors. The task requires memory, spatial orientation and attention at the same time.</t>
  </si>
  <si>
    <t xml:space="preserve">Simulation of daily activities in a room. No specific rules, resources, and outcomes are mentioned. But very comprehensive procedures and objectives. Game boundary is the room with controlled actions. Conflicts are the arrangement of the furniture. </t>
  </si>
  <si>
    <t>The patient can move to various locations on the supermarket by touching the green footprints displayed in the screen and can look around in the virtual environment by scrolling left and right on the touch screen. S/he can select and purchase products by touching them.</t>
  </si>
  <si>
    <t>The VSM is designed to mimic daily shopping in a supermarket</t>
  </si>
  <si>
    <t>Furnitures?</t>
  </si>
  <si>
    <t xml:space="preserve">shopping list is randomized on each trial to maintain the difficulty level and limit learning effects. </t>
  </si>
  <si>
    <t>After paying, a statistics screen follows. The displayed information includes number and quantities of correct and incorrect items bought and total completion time.</t>
  </si>
  <si>
    <t xml:space="preserve">goal/objective(s): Complete each level as fast as possible to win more points; complete all five levels to conclude the gaming session </t>
  </si>
  <si>
    <t xml:space="preserve">How to use the cube with tablet AR. Etc. </t>
  </si>
  <si>
    <t>Complete each level before moving to the next one. But each level only provide goals, not very detailed.</t>
  </si>
  <si>
    <t>scores policy is unclear.</t>
  </si>
  <si>
    <t>some minigames mentioned difficulties e.g., number of pieces in puzzle.</t>
  </si>
  <si>
    <t xml:space="preserve">When each game begins, the touch-screen PC displays text instructions accompanied by audio guidance. </t>
  </si>
  <si>
    <t>? What shows on each FC's screen?</t>
  </si>
  <si>
    <t>Level is conflict as well as outcomes</t>
  </si>
  <si>
    <t>mention the actions players can do: tap the specific element.</t>
  </si>
  <si>
    <t xml:space="preserve">For each mini game the objective is clear, however there is no overall objective and less connection between games. </t>
  </si>
  <si>
    <t>time left. Ect.</t>
  </si>
  <si>
    <t>war</t>
  </si>
  <si>
    <t>52 poker cards</t>
  </si>
  <si>
    <t>Free cell</t>
  </si>
  <si>
    <t>Black Jack</t>
  </si>
  <si>
    <t>Whack-a-mole</t>
  </si>
  <si>
    <t>Word search and Sudoku</t>
  </si>
  <si>
    <t>Sorry I repeated.</t>
  </si>
  <si>
    <t>Text</t>
  </si>
  <si>
    <t>Screenshots</t>
  </si>
  <si>
    <t>Video</t>
  </si>
  <si>
    <t xml:space="preserve">Playable Game </t>
  </si>
  <si>
    <t>but link is 404 now</t>
  </si>
  <si>
    <t>No access</t>
  </si>
  <si>
    <t>But only landing screen, no game details.</t>
  </si>
  <si>
    <t>Almost no game content description. Only one screenshot</t>
  </si>
  <si>
    <t>No game details, the description focus on the cognitive function training.</t>
  </si>
  <si>
    <t>Not enough information to know the game, the screeshots are not the main scenes</t>
  </si>
  <si>
    <t>Fullerton's model， link has password which I cannot find</t>
  </si>
  <si>
    <t>Videos can be downloaded from journal's website.</t>
  </si>
  <si>
    <t>No details in this paper, but maybe in another paper focus on the rehabilitation</t>
  </si>
  <si>
    <t>Not involved</t>
  </si>
  <si>
    <t>Usability by data collected</t>
  </si>
  <si>
    <t>Not comprehensively reported, more on users' role</t>
  </si>
  <si>
    <t>Feasibility is defined by the proportion of participants who successfully complete the RE@CH assessment module within a stipulated time.</t>
  </si>
  <si>
    <t>31 Text+figure</t>
  </si>
  <si>
    <t>4 Text</t>
  </si>
  <si>
    <t>2 text + link</t>
  </si>
  <si>
    <t>2 Figure</t>
  </si>
  <si>
    <t>3 none</t>
  </si>
  <si>
    <t>1 video</t>
  </si>
  <si>
    <t>1 text+figure+link</t>
  </si>
  <si>
    <t>No: 23</t>
  </si>
  <si>
    <t>(informant??)</t>
  </si>
  <si>
    <t>6 questions, 5-scales, successful rate</t>
  </si>
  <si>
    <t xml:space="preserve">6 questions on TAM, </t>
  </si>
  <si>
    <t>qualitative: (1) if they were able to understand the task from the tutorial, (2) if they had any issues playing the game, (3) if they enjoyed playing the game, and (4) how they would rate the game in terms of difficulty.</t>
  </si>
  <si>
    <t>7 questions, 5-scale</t>
  </si>
  <si>
    <t>focused on the design aspects of the system, including the clarity of the screen layout, feedback speed, and the presence of errors. The questionnaire had eight questions and used the Likert scale of 1–5 for answers, with 1 representing “strongly disagree” and 5 representing “strongly agree.“</t>
  </si>
  <si>
    <t>Interview + Virtual Reality Sickness Questionnaire, Virtual Reality Presence Questionnaire, and the System Usability Scale</t>
  </si>
  <si>
    <t>System Usability Scale (SUS), the User Experience Questionnaire (UEQ), the NASA Task Load Index (NASA-TLX), the Presence questionnaire (19 questions, 7-scale), and three open questions</t>
  </si>
  <si>
    <t>No info about how many questions, but only 5 construct's result.</t>
  </si>
  <si>
    <t>All young</t>
  </si>
  <si>
    <t>Type</t>
  </si>
  <si>
    <t>Usability</t>
  </si>
  <si>
    <t>Player experience</t>
  </si>
  <si>
    <t>Usability + player experience</t>
  </si>
  <si>
    <t>2 for usability and 4 for user experience</t>
  </si>
  <si>
    <t>No detail about questions . Only concept of: presence, intuitive controls, enjoyment, stress, cometence.</t>
  </si>
  <si>
    <t>User experience</t>
  </si>
  <si>
    <t>Usability + user experience</t>
  </si>
  <si>
    <t>/</t>
  </si>
  <si>
    <t>77(14.1)</t>
  </si>
  <si>
    <t>90(3.5)</t>
  </si>
  <si>
    <t>51.3(/)</t>
  </si>
  <si>
    <t>74(8.6)</t>
  </si>
  <si>
    <t>80(/)</t>
  </si>
  <si>
    <t>77.5(10.3)</t>
  </si>
  <si>
    <t>55.5(18.8)-SUS</t>
  </si>
  <si>
    <t>SUS + 2 extra questions</t>
  </si>
  <si>
    <t>Usability:11</t>
  </si>
  <si>
    <t>UX: 10</t>
  </si>
  <si>
    <t>PX:4</t>
  </si>
  <si>
    <t>User experience + Player experience</t>
  </si>
  <si>
    <t>20/43</t>
  </si>
  <si>
    <t>Interaction modality</t>
  </si>
  <si>
    <t>Control scheme</t>
  </si>
  <si>
    <t>Audio content</t>
  </si>
  <si>
    <t>Letter Lotte</t>
  </si>
  <si>
    <t>keyboard and mouse</t>
  </si>
  <si>
    <t>Audio instructions</t>
  </si>
  <si>
    <t>Auditory feedback</t>
  </si>
  <si>
    <t>mouse/touchscreen</t>
  </si>
  <si>
    <t>click point of interest to select, rotation, pitch, and yaw to see the environment, drag for implicit navigation</t>
  </si>
  <si>
    <t>touch green footprint for move, scoll left and right to look around, touch the item to select</t>
  </si>
  <si>
    <t>AR, interact with physcial objects</t>
  </si>
  <si>
    <t>audio instruction</t>
  </si>
  <si>
    <t>interact with tangible cubes and touchscreen</t>
  </si>
  <si>
    <t>touchscreen, speech input</t>
  </si>
  <si>
    <t>Hand gestures</t>
  </si>
  <si>
    <t>Unknown</t>
  </si>
  <si>
    <t>move head for looking around virtual environment, Tilting the joystick allows the user to change the angle of view for turning corners, and pressing a large button allows forward movements in VE.</t>
  </si>
  <si>
    <t>touchscreen</t>
  </si>
  <si>
    <t>finger sweps across fruit to cut / Swiping left/right is to move the shape to the left/right, swiping down is to force it to fall into the stack instantly. Tapping the screen is to rotate it by 90 degrees. / swipe the screen to swap two adjacent candies vertically or horizontally</t>
  </si>
  <si>
    <t>Infer: touchscreen</t>
  </si>
  <si>
    <t>HMD motion tracking and joystick?</t>
  </si>
  <si>
    <t>the Trackpad enabled the user to move toward the front-view, to select the target item on the shelf, the user had to move the controller to reach the item on the shelf and press “Trigger” to move the item to the cart.</t>
  </si>
  <si>
    <t>background music (Live music in paper)</t>
  </si>
  <si>
    <t>A long sequence of body action to play Baduanjin</t>
  </si>
  <si>
    <t>pick up,shake, or presse the cube for selection. Order physical cubes cubes (eg. In a sequence)</t>
  </si>
  <si>
    <t>Infer: touchscreen (Tablet)</t>
  </si>
  <si>
    <t>Mouse clicking virtual button</t>
  </si>
  <si>
    <t>The two crossed keys at the bottom of the game screen control the player’s movement and field of view, respectively. The bar in the middle between them allows the player to adjust the movement distance per move and the tilt angle when the two crossed keys are clicked. “High” increases the distance or the tilt angle. As for “Low”, the movement distance becomes shorter, and the tilt angle becomes smaller.</t>
  </si>
  <si>
    <t>Complex actions, implicit shown in the video</t>
  </si>
  <si>
    <t>Unknown (smart phone AR?)</t>
  </si>
  <si>
    <t>Immersive Virtual Reality Supermarket Cognitive Assessment Program (IVRSCAP)</t>
  </si>
  <si>
    <t>VR headset</t>
  </si>
  <si>
    <t>Infer: Mouse</t>
  </si>
  <si>
    <t>Click to flip a card</t>
  </si>
  <si>
    <t>Mouse or touchscreen (by assuming typical modality of Android and PC)</t>
  </si>
  <si>
    <t>Multiple devices: touchscreen, joysticks, gaming mice, or gesture-controlled devices etc.</t>
  </si>
  <si>
    <t>Touchscreen (by assuming typical modality of mobile devices)</t>
  </si>
  <si>
    <t>HMD with joysticks</t>
  </si>
  <si>
    <t>Touchscreen or joystick (iPad)</t>
  </si>
  <si>
    <t>mouse</t>
  </si>
  <si>
    <t>Customed Joystick</t>
  </si>
  <si>
    <t>body gestures (Kinect)</t>
  </si>
  <si>
    <t>body gestures (motion capture system)</t>
  </si>
  <si>
    <t>Joysticks, head movements (in VR set)</t>
  </si>
  <si>
    <t>body gestures (Wii)</t>
  </si>
  <si>
    <t>10 Unkown</t>
  </si>
  <si>
    <t>6 mouse or keyboard</t>
  </si>
  <si>
    <t>9 touchscreen (with 1 audio input)</t>
  </si>
  <si>
    <t>4 VR headset</t>
  </si>
  <si>
    <t>6 body movement</t>
  </si>
  <si>
    <t>3 dedicated hardware interaction</t>
  </si>
  <si>
    <t>5 multiple ways</t>
  </si>
  <si>
    <t>Not that worth to mention?</t>
  </si>
  <si>
    <t>6 Audio instruction</t>
  </si>
  <si>
    <t>1 Audio feedback</t>
  </si>
  <si>
    <t>1 background sound effect?</t>
  </si>
  <si>
    <t>RQ2 - Formal Game Design Elements</t>
  </si>
  <si>
    <t>Rules</t>
  </si>
  <si>
    <t>Objectives</t>
  </si>
  <si>
    <t>Absent  (0)
Limited (1)
Sufficient (2)</t>
  </si>
  <si>
    <t>0=Absent or extremely limited
1=Simple
2=Complex)</t>
  </si>
  <si>
    <t>Absent  (0)
Vague (1)
explicit (2)</t>
  </si>
  <si>
    <t>0=Absent or extremely limited
1=fuzzy
2=strong)</t>
  </si>
  <si>
    <t>Paper</t>
  </si>
  <si>
    <t>Number</t>
  </si>
  <si>
    <t>RQ1 - Reporting Transparency</t>
  </si>
  <si>
    <t>Artefact descriptions</t>
  </si>
  <si>
    <t xml:space="preserve">Report of the audio content </t>
  </si>
  <si>
    <t xml:space="preserve"> (0 = Not mentioned, 
1 = Simple control: Tapping objects, joystick steering left/right, 
2= Complex control: sequences of keys on a keyboard and or or buttons on a gamepad</t>
  </si>
  <si>
    <t xml:space="preserve"> 0 = not mentioned, 1 = Background music, 2 = Audio feedback or other sound effects, 3 = Audio instructions during the gameplay)</t>
  </si>
  <si>
    <t>( 0 = not mentioned, A  based on existing game, B ref to another paper
1 = Textual Description, 
2=Screenshots, 
3=Gameplay Videos, 
4=Playable Game or Source Code)</t>
  </si>
  <si>
    <t>number</t>
  </si>
  <si>
    <t>Game Name</t>
  </si>
  <si>
    <t>A,1</t>
  </si>
  <si>
    <t>Letter Lotto</t>
  </si>
  <si>
    <t>A,1,2</t>
  </si>
  <si>
    <t>21 Tally</t>
  </si>
  <si>
    <t>1,2</t>
  </si>
  <si>
    <t>1,2  (screenshot is not valuable)</t>
  </si>
  <si>
    <t>3, and colored buttons (arcade controller)</t>
  </si>
  <si>
    <t>Word Search and sudoku</t>
  </si>
  <si>
    <t>SmartAgeing</t>
  </si>
  <si>
    <t>2,3</t>
  </si>
  <si>
    <t>Virtual Supermarket</t>
  </si>
  <si>
    <t>SmartKuber</t>
  </si>
  <si>
    <t>1,4 (but cannot access)</t>
  </si>
  <si>
    <t>5 (AR by a tablet)</t>
  </si>
  <si>
    <t>2(tablet see the task, real cubes do the task, then tablet verify the result)</t>
  </si>
  <si>
    <t>kitchen and cooking</t>
  </si>
  <si>
    <t>3 (infer by screenshot, like a wii controller)</t>
  </si>
  <si>
    <t>5 (Kinect)</t>
  </si>
  <si>
    <t>1,2,3</t>
  </si>
  <si>
    <t>5 (decicated cubes)</t>
  </si>
  <si>
    <t xml:space="preserve"> ( 0 = not mentioned, 
1 = Mouse and keyboard,
 2=Touchscreen,
3= Joysticks, 
4=Virtial reality, 5 = other)</t>
  </si>
  <si>
    <t>2,5 (voice input)</t>
  </si>
  <si>
    <t>A,B,1,2</t>
  </si>
  <si>
    <t>5 (Leap motion)</t>
  </si>
  <si>
    <t>VR-CogAssess</t>
  </si>
  <si>
    <t>4 (Oculis rift)</t>
  </si>
  <si>
    <t>5 (wii Balance Board controllers)</t>
  </si>
  <si>
    <t>4 (HTC Vive)</t>
  </si>
  <si>
    <t>1,3</t>
  </si>
  <si>
    <t>1,2 (screenshot only landing page)</t>
  </si>
  <si>
    <t>5 (body movement detected by sensors)</t>
  </si>
  <si>
    <t>0 (Unity, but don't know which device)</t>
  </si>
  <si>
    <t>3 (infer by screenshot there are audio instructions)</t>
  </si>
  <si>
    <t>4 (Pico Neo 2 Eye)</t>
  </si>
  <si>
    <t>2,4</t>
  </si>
  <si>
    <t>B</t>
  </si>
  <si>
    <t>5 (AR by smartphone)</t>
  </si>
  <si>
    <t>4 (Oculus Quest 2)</t>
  </si>
  <si>
    <t>Flip cards</t>
  </si>
  <si>
    <t>2</t>
  </si>
  <si>
    <t>3</t>
  </si>
  <si>
    <t>Total</t>
  </si>
  <si>
    <t xml:space="preserve">Game Origin </t>
  </si>
  <si>
    <t>Assessment Origin</t>
  </si>
  <si>
    <t>Linking of Psychological Theories. (But no details)</t>
  </si>
  <si>
    <t>[No prove of cognitive function -&gt; game behaviors]</t>
  </si>
  <si>
    <t>Smartkuber was developed to be a stand-alone mobile game for tablets,..., supporting casual gaming, targeting both tactical and logistical players (motivated by Mastery, i.e., challenge and strategy, according to the Gamer Motivation Model, and focusing on frequent gaming sessions.</t>
  </si>
  <si>
    <t>[Inspired by cognitive functions in MMSE, but not gamified the tests, still trying directly assess cognitive functions.]</t>
  </si>
  <si>
    <t>[Extend the serious purpose, shifting from physical rehablitatin to cognitive assessment]</t>
  </si>
  <si>
    <t>The tasks in the games mimic the cognitive demands of the real world activities like walking, turning, catching, navigating, memorizing, attention, response inhibition, hitting etc.</t>
  </si>
  <si>
    <t>SPACE includes five spatial tasks (i.e., path integration, egocentric pointing, mapping, associative memory, and perspective taking) designed to recruit critical brain regions involved in spatial navigation</t>
  </si>
  <si>
    <t>[The paper doesn't mention what the game is. The content is in the previous paper which is not included in the review]</t>
  </si>
  <si>
    <t>New: 22</t>
  </si>
  <si>
    <t>Existing games: 13</t>
  </si>
  <si>
    <t>(Solitaire) Although not designed to measure cognition, COTS games are woven into the fabric of everyday life and may be able to provide digital biomarkers of cognitive performance that are reflective of cognitive status. This study aims to explore the possibility of using COTS card games to screen cognition among patients living with MCI.</t>
  </si>
  <si>
    <t>(beats saber)</t>
  </si>
  <si>
    <t>Free cell, word search, black jack, whack-a-mole, sudoku, find-the-pair, war, MC, tetris, solitaire, beat saber,</t>
  </si>
  <si>
    <t>Cognitive tests/tasks: 8</t>
  </si>
  <si>
    <r>
      <t xml:space="preserve">In a four weeks study, questionnaires were collected in first and last week (2 times). [10cm analogical scale for </t>
    </r>
    <r>
      <rPr>
        <b/>
        <sz val="12"/>
        <color theme="1"/>
        <rFont val="Aptos Narrow"/>
        <scheme val="minor"/>
      </rPr>
      <t>satisfaction</t>
    </r>
    <r>
      <rPr>
        <sz val="12"/>
        <color theme="1"/>
        <rFont val="Aptos Narrow"/>
        <scheme val="minor"/>
      </rPr>
      <t xml:space="preserve">, 4-item for </t>
    </r>
    <r>
      <rPr>
        <b/>
        <sz val="12"/>
        <color theme="1"/>
        <rFont val="Aptos Narrow"/>
        <scheme val="minor"/>
      </rPr>
      <t>perceived interst</t>
    </r>
    <r>
      <rPr>
        <sz val="12"/>
        <color theme="1"/>
        <rFont val="Aptos Narrow"/>
        <scheme val="minor"/>
      </rPr>
      <t xml:space="preserve">, 24-item for </t>
    </r>
    <r>
      <rPr>
        <b/>
        <sz val="12"/>
        <color theme="1"/>
        <rFont val="Aptos Narrow"/>
        <scheme val="minor"/>
      </rPr>
      <t>intrinsic and external motivation</t>
    </r>
    <r>
      <rPr>
        <sz val="12"/>
        <color theme="1"/>
        <rFont val="Aptos Narrow"/>
        <scheme val="minor"/>
      </rPr>
      <t xml:space="preserve"> by Gourlan, 20-item PANAS for </t>
    </r>
    <r>
      <rPr>
        <b/>
        <sz val="12"/>
        <color theme="1"/>
        <rFont val="Aptos Narrow"/>
        <scheme val="minor"/>
      </rPr>
      <t>experienced emotions</t>
    </r>
    <r>
      <rPr>
        <sz val="12"/>
        <color theme="1"/>
        <rFont val="Aptos Narrow"/>
        <scheme val="minor"/>
      </rPr>
      <t xml:space="preserve">, 11-item Piper </t>
    </r>
    <r>
      <rPr>
        <b/>
        <sz val="12"/>
        <color theme="1"/>
        <rFont val="Aptos Narrow"/>
        <scheme val="minor"/>
      </rPr>
      <t>Fatigue</t>
    </r>
    <r>
      <rPr>
        <sz val="12"/>
        <color theme="1"/>
        <rFont val="Aptos Narrow"/>
        <scheme val="minor"/>
      </rPr>
      <t xml:space="preserve"> Scale</t>
    </r>
    <r>
      <rPr>
        <sz val="12"/>
        <color theme="1"/>
        <rFont val="Aptos Narrow"/>
        <family val="2"/>
        <scheme val="minor"/>
      </rPr>
      <t xml:space="preserve">] All questionnaire results are good, not changed in two tests.  </t>
    </r>
  </si>
  <si>
    <t># of participants</t>
  </si>
  <si>
    <t>Time required to perform tasks</t>
  </si>
  <si>
    <t>4-quadrant Gaze heat map: Objective list attracted more attention. Navigation mini map is less used. Both of them are not correlated to performance.</t>
  </si>
  <si>
    <t>All them referred to feel more comfortable with the touch screen that they found easier to master. / The design of a couple of objects (banana and toasts) was not enough realistic.</t>
  </si>
  <si>
    <t>2 times In-Game Experience Questionnaire (iGEQ)</t>
  </si>
  <si>
    <t>Number of sessions played</t>
  </si>
  <si>
    <t>No number</t>
  </si>
  <si>
    <t>Note: (qualitative)</t>
  </si>
  <si>
    <t>(quantitative)</t>
  </si>
  <si>
    <t>Time spent playing, number of senarios played. Report the number with no benchmark.</t>
  </si>
  <si>
    <t>Questionnaire and extra follow up one 36 months after user study; Perceived usefulness (n=57 first time, 18/21 second time), perceived ease of use (n=57, n=?? second time), willingess to keep using the platform (n=47), preferred devices (TV, 9/21)</t>
  </si>
  <si>
    <t>10 Participants involved. Two felt  physical uncomfortable during the experiment and quitted. Two felt uncomfortable after finishing the experiment and quitted.</t>
  </si>
  <si>
    <t>Focus group: Participants appreciated the idea of 'city walk'.  Participants felt the artefact useful but fear the negative outcome while using it at home. Participants refered artefact as 'test' no matter the artefact was an actual game.</t>
  </si>
  <si>
    <t>Usability questionnaire, 5-scales, before and after, 7 questions for motivational and usefulness perceptions. Motivation was low initially, but increased 40-50% after experiencing artefact. The artefact was perceived as useful both before and after.</t>
  </si>
  <si>
    <t>&gt;5.3/7 for all items</t>
  </si>
  <si>
    <t xml:space="preserve">13 questions. Women had higher acceptance and felt the artefact fascinating and satisfied. Participants with lower education yielded higher scores (5.88 vs 5.72). But overall the differences for gender and education were small. </t>
  </si>
  <si>
    <t xml:space="preserve">12 items questionnaire. Usability (SUS) and entertainment aspects. </t>
  </si>
  <si>
    <t>mean=4.12</t>
  </si>
  <si>
    <t>24.7/30.0</t>
  </si>
  <si>
    <t>successful rate = 100%, time to complete=19.6(3.6) min, 6 items questionnaire.</t>
  </si>
  <si>
    <t>9% (2/22) participants reported slight motion sickness toward the end of the session after approximately 10 min in VR condition. The slow joystick reaction was design decision to mitigate possible motion sickness but reported not user-friendly by participants.</t>
  </si>
  <si>
    <t xml:space="preserve">More participants reported high perceived intuitive controls (n=15) than low (n=5).  VR had higher enjoyment than PC (p=.003).  No significant difference between VR and PC for completion time and perceived stress (both VR and PC were low from IMI results).  </t>
  </si>
  <si>
    <t>Human factor, User experience, Player experience</t>
  </si>
  <si>
    <t xml:space="preserve">GEQ is with 33 items on 5 points scale. No numbers in the paper, bar chart presents the result.  Construct Flow showed neutral result, challenge is low. </t>
  </si>
  <si>
    <t>qualitative: (1) if they were able to understand the task from the tutorial, (2) if they had any issues playing the game, (3) if they enjoyed playing the game, and (4) how they would rate the game in terms of difficulty. Result showed minor usability problems and challenge in two of the mini games.</t>
  </si>
  <si>
    <t>Customed questions</t>
  </si>
  <si>
    <t>33(part of them were young)</t>
  </si>
  <si>
    <t>User experience, Player experience</t>
  </si>
  <si>
    <t>Usability, player experience</t>
  </si>
  <si>
    <t>Usability, user experience</t>
  </si>
  <si>
    <t>SUS and customed questionnaire for design</t>
  </si>
  <si>
    <t>Better task performance was correlated with higher scores in the SUS and UEQ. Three studies on different designs on UI and control. For the results from older adults, the SUS ranged 48.75-56.25, UEQ Attractiveness 0.50-0.92, UEQ Pragmatic 0.17-0.50, UEQ Hedonic 0.25-0.69, NASA-TLX 48.33-51.67, Presence questionnaire 78.00-79.00.</t>
  </si>
  <si>
    <t>Six major themes (Enjoyable, Intuitive, Stimulating, Demanding, Repetitive, and Frustrating) Some of these participants enjoyed the aesthetic appeal of the graphics and the atmosphere created by the soundtrack. Approximately 23% of responses highlighted that the game was demanding in solving tasks. 12% of participants felt the game was repetitive and too long.  8% of participants noted that they became discouraged by their performance or the controls of the game.</t>
  </si>
  <si>
    <t>256(with 73 older adults)</t>
  </si>
  <si>
    <t>Performance Expectancy = 4.1, Effort Expectancy = 4.1,  Social Influence = 4.0, Facilitating Conditions = 4.5, Behavioral Intention = 4.1.</t>
  </si>
  <si>
    <r>
      <t xml:space="preserve">In a four weeks study, questionnaires were collected in first and last week (2 times). [10cm analogical scale for </t>
    </r>
    <r>
      <rPr>
        <b/>
        <sz val="12"/>
        <color theme="1"/>
        <rFont val="Aptos Narrow"/>
        <scheme val="minor"/>
      </rPr>
      <t>satisfaction</t>
    </r>
    <r>
      <rPr>
        <sz val="12"/>
        <color theme="1"/>
        <rFont val="Aptos Narrow"/>
        <scheme val="minor"/>
      </rPr>
      <t xml:space="preserve">, 4-item for </t>
    </r>
    <r>
      <rPr>
        <b/>
        <sz val="12"/>
        <color theme="1"/>
        <rFont val="Aptos Narrow"/>
        <scheme val="minor"/>
      </rPr>
      <t>perceived interst</t>
    </r>
    <r>
      <rPr>
        <sz val="12"/>
        <color theme="1"/>
        <rFont val="Aptos Narrow"/>
        <scheme val="minor"/>
      </rPr>
      <t xml:space="preserve">, 24-item for </t>
    </r>
    <r>
      <rPr>
        <b/>
        <sz val="12"/>
        <color theme="1"/>
        <rFont val="Aptos Narrow"/>
        <scheme val="minor"/>
      </rPr>
      <t>intrinsic and external motivation</t>
    </r>
    <r>
      <rPr>
        <sz val="12"/>
        <color theme="1"/>
        <rFont val="Aptos Narrow"/>
        <scheme val="minor"/>
      </rPr>
      <t xml:space="preserve"> by Gourlan, 20-item PANAS for </t>
    </r>
    <r>
      <rPr>
        <b/>
        <sz val="12"/>
        <color theme="1"/>
        <rFont val="Aptos Narrow"/>
        <scheme val="minor"/>
      </rPr>
      <t>experienced emotions</t>
    </r>
    <r>
      <rPr>
        <sz val="12"/>
        <color theme="1"/>
        <rFont val="Aptos Narrow"/>
        <scheme val="minor"/>
      </rPr>
      <t xml:space="preserve">, 11-item Piper </t>
    </r>
    <r>
      <rPr>
        <b/>
        <sz val="12"/>
        <color theme="1"/>
        <rFont val="Aptos Narrow"/>
        <scheme val="minor"/>
      </rPr>
      <t>Fatigue</t>
    </r>
    <r>
      <rPr>
        <sz val="12"/>
        <color theme="1"/>
        <rFont val="Aptos Narrow"/>
        <scheme val="minor"/>
      </rPr>
      <t xml:space="preserve"> Scale</t>
    </r>
    <r>
      <rPr>
        <sz val="12"/>
        <color theme="1"/>
        <rFont val="Aptos Narrow"/>
        <family val="2"/>
        <scheme val="minor"/>
      </rPr>
      <t xml:space="preserve">] </t>
    </r>
  </si>
  <si>
    <t xml:space="preserve">Time spent playing, number of senarios played. Report the number with no benchmark. </t>
  </si>
  <si>
    <t xml:space="preserve"> All questionnaire results are good, not changed in two tests. </t>
  </si>
  <si>
    <t>Results</t>
  </si>
  <si>
    <t>No number, analysis see quantitative part.</t>
  </si>
  <si>
    <t>4.12/5.00</t>
  </si>
  <si>
    <t>N/A</t>
  </si>
  <si>
    <t xml:space="preserve">6 items, before and after experiencing the artefact. </t>
  </si>
  <si>
    <t xml:space="preserve">Perceived usefulness = 3.2(0.7), perceived ease of use= 3.4(0.3), attitude towards use= 3.6(0.5). </t>
  </si>
  <si>
    <t xml:space="preserve">7 questions, 5-scale. </t>
  </si>
  <si>
    <t>Usability =3.98, experience = 4.20</t>
  </si>
  <si>
    <t xml:space="preserve">The customed questionnaire had eight questions, 5 points. </t>
  </si>
  <si>
    <t>SUS=74.0(10.3); Customed = 82.5(5.4)</t>
  </si>
  <si>
    <t>SUS: 55.5(18.8)</t>
  </si>
  <si>
    <r>
      <t xml:space="preserve">4-item for </t>
    </r>
    <r>
      <rPr>
        <b/>
        <sz val="12"/>
        <color rgb="FF000000"/>
        <rFont val="Aptos Narrow"/>
        <scheme val="minor"/>
      </rPr>
      <t>perceived interst</t>
    </r>
    <r>
      <rPr>
        <sz val="12"/>
        <color rgb="FF000000"/>
        <rFont val="Aptos Narrow"/>
        <family val="2"/>
        <scheme val="minor"/>
      </rPr>
      <t xml:space="preserve">, 24-item for intrinsic and external </t>
    </r>
    <r>
      <rPr>
        <b/>
        <sz val="12"/>
        <color rgb="FF000000"/>
        <rFont val="Aptos Narrow"/>
        <scheme val="minor"/>
      </rPr>
      <t>motivation</t>
    </r>
    <r>
      <rPr>
        <sz val="12"/>
        <color rgb="FF000000"/>
        <rFont val="Aptos Narrow"/>
        <family val="2"/>
        <scheme val="minor"/>
      </rPr>
      <t xml:space="preserve"> by Gourlan. All questionnaire results are good, not changed in two tests. </t>
    </r>
  </si>
  <si>
    <t>Quantitative results</t>
  </si>
  <si>
    <t>Qualitative results</t>
  </si>
  <si>
    <r>
      <t xml:space="preserve">10 Participants involved. Two felt  physical uncomfortable during the experiment and quitted. Two felt uncomfortable after finishing the experiment and quitted. 6 participants reported </t>
    </r>
    <r>
      <rPr>
        <b/>
        <sz val="12"/>
        <color theme="1"/>
        <rFont val="Aptos Narrow"/>
        <scheme val="minor"/>
      </rPr>
      <t>SUS</t>
    </r>
    <r>
      <rPr>
        <sz val="12"/>
        <color theme="1"/>
        <rFont val="Aptos Narrow"/>
        <family val="2"/>
        <scheme val="minor"/>
      </rPr>
      <t xml:space="preserve"> = 51.3(/)</t>
    </r>
  </si>
  <si>
    <t>player experience</t>
  </si>
  <si>
    <r>
      <rPr>
        <b/>
        <sz val="12"/>
        <color theme="1"/>
        <rFont val="Aptos Narrow"/>
        <scheme val="minor"/>
      </rPr>
      <t>SUS</t>
    </r>
    <r>
      <rPr>
        <sz val="12"/>
        <color theme="1"/>
        <rFont val="Aptos Narrow"/>
        <family val="2"/>
        <scheme val="minor"/>
      </rPr>
      <t xml:space="preserve"> = 4.1/5 (/)</t>
    </r>
  </si>
  <si>
    <t>usability</t>
  </si>
  <si>
    <r>
      <rPr>
        <b/>
        <sz val="12"/>
        <color theme="1"/>
        <rFont val="Aptos Narrow"/>
        <scheme val="minor"/>
      </rPr>
      <t>SUS</t>
    </r>
    <r>
      <rPr>
        <sz val="12"/>
        <color theme="1"/>
        <rFont val="Aptos Narrow"/>
        <family val="2"/>
        <scheme val="minor"/>
      </rPr>
      <t xml:space="preserve"> = 74(8.6)</t>
    </r>
  </si>
  <si>
    <r>
      <rPr>
        <b/>
        <sz val="12"/>
        <color theme="1"/>
        <rFont val="Aptos Narrow"/>
        <scheme val="minor"/>
      </rPr>
      <t>SUS</t>
    </r>
    <r>
      <rPr>
        <sz val="12"/>
        <color theme="1"/>
        <rFont val="Aptos Narrow"/>
        <family val="2"/>
        <scheme val="minor"/>
      </rPr>
      <t xml:space="preserve"> = 80(/)</t>
    </r>
  </si>
  <si>
    <r>
      <rPr>
        <b/>
        <sz val="12"/>
        <color theme="1"/>
        <rFont val="Aptos Narrow"/>
        <scheme val="minor"/>
      </rPr>
      <t>Game experience questionnaire(GEQ)</t>
    </r>
    <r>
      <rPr>
        <sz val="12"/>
        <color theme="1"/>
        <rFont val="Aptos Narrow"/>
        <family val="2"/>
        <scheme val="minor"/>
      </rPr>
      <t xml:space="preserve"> is with 33 items on 5 points scale. No numbers in the paper, bar chart presents the result.  Construct Flow showed neutral result, challenge is low. All others are high.</t>
    </r>
  </si>
  <si>
    <t xml:space="preserve">qualitative result from four questions first two are about usability: (1) if they were able to understand the task from the tutorial, (2) if they had any issues playing the game Result showed minor usability problems </t>
  </si>
  <si>
    <t>The other two questions are about player experience: (3) if they enjoyed playing the game, and (4) how they would rate the game in terms of difficulty. Results showed challenge in two of the mini games.</t>
  </si>
  <si>
    <t xml:space="preserve">Usability </t>
  </si>
  <si>
    <r>
      <t xml:space="preserve">Three studies on different designs on UI and control. For the results from older adults, the mean </t>
    </r>
    <r>
      <rPr>
        <b/>
        <sz val="12"/>
        <color theme="1"/>
        <rFont val="Aptos Narrow"/>
        <scheme val="minor"/>
      </rPr>
      <t xml:space="preserve">SUS </t>
    </r>
    <r>
      <rPr>
        <sz val="12"/>
        <color theme="1"/>
        <rFont val="Aptos Narrow"/>
        <scheme val="minor"/>
      </rPr>
      <t>in four conditions</t>
    </r>
    <r>
      <rPr>
        <sz val="12"/>
        <color theme="1"/>
        <rFont val="Aptos Narrow"/>
        <family val="2"/>
        <scheme val="minor"/>
      </rPr>
      <t xml:space="preserve"> ranged 48.75-56.25, </t>
    </r>
    <r>
      <rPr>
        <b/>
        <sz val="12"/>
        <color theme="1"/>
        <rFont val="Aptos Narrow"/>
        <scheme val="minor"/>
      </rPr>
      <t>NASA-TLX</t>
    </r>
    <r>
      <rPr>
        <sz val="12"/>
        <color theme="1"/>
        <rFont val="Aptos Narrow"/>
        <family val="2"/>
        <scheme val="minor"/>
      </rPr>
      <t xml:space="preserve"> 48.33-51.67.
Better task performance was correlated with higher scores in the SUS and UEQ. </t>
    </r>
  </si>
  <si>
    <t>Six major themes from three open questions (Enjoyable, Intuitive, Stimulating, Demanding, Repetitive, and Frustrating). 
Some of these participants enjoyed the aesthetic appeal of the graphics and the atmosphere created by the soundtrack. Approximately 23% of responses highlighted that the game was demanding in solving tasks. 12% of participants felt the game was repetitive and too long.  8% of participants noted that they became discouraged by their performance or the controls of the game.</t>
  </si>
  <si>
    <r>
      <rPr>
        <b/>
        <sz val="12"/>
        <color theme="1"/>
        <rFont val="Aptos Narrow"/>
        <scheme val="minor"/>
      </rPr>
      <t>User Experience Questionnaire (</t>
    </r>
    <r>
      <rPr>
        <sz val="12"/>
        <color theme="1"/>
        <rFont val="Aptos Narrow"/>
        <family val="2"/>
        <scheme val="minor"/>
      </rPr>
      <t xml:space="preserve">UEQ) Attractiveness = 0.50-0.92, UEQ Pragmatic = 0.17-0.50, UEQ Hedonic = 0.25-0.69; </t>
    </r>
    <r>
      <rPr>
        <b/>
        <sz val="12"/>
        <color theme="1"/>
        <rFont val="Aptos Narrow"/>
        <scheme val="minor"/>
      </rPr>
      <t xml:space="preserve">Presence questionnaire </t>
    </r>
    <r>
      <rPr>
        <sz val="12"/>
        <color theme="1"/>
        <rFont val="Aptos Narrow"/>
        <scheme val="minor"/>
      </rPr>
      <t>(19 questions, 7-scale) =</t>
    </r>
    <r>
      <rPr>
        <sz val="12"/>
        <color theme="1"/>
        <rFont val="Aptos Narrow"/>
        <family val="2"/>
        <scheme val="minor"/>
      </rPr>
      <t xml:space="preserve"> 78.00-79.00.</t>
    </r>
  </si>
  <si>
    <r>
      <t xml:space="preserve">Unified Theory of Acceptance and Use of Technology (UTAUT). </t>
    </r>
    <r>
      <rPr>
        <sz val="12"/>
        <color theme="1"/>
        <rFont val="Aptos Narrow"/>
        <scheme val="minor"/>
      </rPr>
      <t>Performance Expectancy = 4.1, Effort Expectancy = 4.1,  Social Influence = 4.0, Facilitating Conditions = 4.5, Behavioral Intention = 4.1.</t>
    </r>
  </si>
  <si>
    <r>
      <rPr>
        <b/>
        <sz val="12"/>
        <color theme="1"/>
        <rFont val="Aptos Narrow"/>
        <scheme val="minor"/>
      </rPr>
      <t>SUS</t>
    </r>
    <r>
      <rPr>
        <sz val="12"/>
        <color theme="1"/>
        <rFont val="Aptos Narrow"/>
        <family val="2"/>
        <scheme val="minor"/>
      </rPr>
      <t xml:space="preserve"> = 77(14.1). 
</t>
    </r>
    <r>
      <rPr>
        <b/>
        <sz val="12"/>
        <color theme="1"/>
        <rFont val="Aptos Narrow"/>
        <scheme val="minor"/>
      </rPr>
      <t>Player behaviors</t>
    </r>
    <r>
      <rPr>
        <sz val="12"/>
        <color theme="1"/>
        <rFont val="Aptos Narrow"/>
        <family val="2"/>
        <scheme val="minor"/>
      </rPr>
      <t>: 4-quadrant Gaze heat map: Objective list attracted more attention. Navigation mini map is less used. Both of them are not correlated to performance.</t>
    </r>
  </si>
  <si>
    <r>
      <rPr>
        <b/>
        <sz val="12"/>
        <color theme="1"/>
        <rFont val="Aptos Narrow"/>
        <scheme val="minor"/>
      </rPr>
      <t>Player behaviors:</t>
    </r>
    <r>
      <rPr>
        <sz val="12"/>
        <color theme="1"/>
        <rFont val="Aptos Narrow"/>
        <family val="2"/>
        <scheme val="minor"/>
      </rPr>
      <t xml:space="preserve"> Time required to perform tasks.
</t>
    </r>
    <r>
      <rPr>
        <b/>
        <sz val="12"/>
        <color theme="1"/>
        <rFont val="Aptos Narrow"/>
        <scheme val="minor"/>
      </rPr>
      <t>SUS</t>
    </r>
    <r>
      <rPr>
        <sz val="12"/>
        <color theme="1"/>
        <rFont val="Aptos Narrow"/>
        <family val="2"/>
        <scheme val="minor"/>
      </rPr>
      <t xml:space="preserve"> = 90(3.5). SUS + 4 extra questions = 87.33(14.14)</t>
    </r>
  </si>
  <si>
    <r>
      <rPr>
        <b/>
        <sz val="12"/>
        <color theme="1"/>
        <rFont val="Aptos Narrow"/>
        <scheme val="minor"/>
      </rPr>
      <t>Player behaviors:</t>
    </r>
    <r>
      <rPr>
        <sz val="12"/>
        <color theme="1"/>
        <rFont val="Aptos Narrow"/>
        <family val="2"/>
        <scheme val="minor"/>
      </rPr>
      <t xml:space="preserve"> Correct landmark recall = 4.55/6 (1.26); Navigation mistakes = 4.09 (3.12); Task duration (min) =  10.45 (3.73); Heart rate variability (ms) = 792 (80). No significant difference between VR and PC for completion time
Questionnaires results: </t>
    </r>
    <r>
      <rPr>
        <b/>
        <sz val="12"/>
        <color theme="1"/>
        <rFont val="Aptos Narrow"/>
        <scheme val="minor"/>
      </rPr>
      <t>Intuitive control</t>
    </r>
    <r>
      <rPr>
        <sz val="12"/>
        <color theme="1"/>
        <rFont val="Aptos Narrow"/>
        <family val="2"/>
        <scheme val="minor"/>
      </rPr>
      <t>: 4.45 (1.59) 
More participants reported high perceived intuitive controls (n=15) than low (n=5).</t>
    </r>
  </si>
  <si>
    <r>
      <t xml:space="preserve">In a four weeks study, questionnaires were collected in first and last week (2 times). [10cm analogical scale for </t>
    </r>
    <r>
      <rPr>
        <b/>
        <sz val="12"/>
        <color theme="1"/>
        <rFont val="Aptos Narrow"/>
        <scheme val="minor"/>
      </rPr>
      <t>satisfaction</t>
    </r>
    <r>
      <rPr>
        <sz val="12"/>
        <color theme="1"/>
        <rFont val="Aptos Narrow"/>
        <family val="2"/>
        <scheme val="minor"/>
      </rPr>
      <t xml:space="preserve">, 20-item PANAS for </t>
    </r>
    <r>
      <rPr>
        <b/>
        <sz val="12"/>
        <color theme="1"/>
        <rFont val="Aptos Narrow"/>
        <scheme val="minor"/>
      </rPr>
      <t>experienced emotions</t>
    </r>
    <r>
      <rPr>
        <sz val="12"/>
        <color theme="1"/>
        <rFont val="Aptos Narrow"/>
        <family val="2"/>
        <scheme val="minor"/>
      </rPr>
      <t xml:space="preserve">, 11-item Piper </t>
    </r>
    <r>
      <rPr>
        <b/>
        <sz val="12"/>
        <color theme="1"/>
        <rFont val="Aptos Narrow"/>
        <scheme val="minor"/>
      </rPr>
      <t>Fatigue</t>
    </r>
    <r>
      <rPr>
        <sz val="12"/>
        <color theme="1"/>
        <rFont val="Aptos Narrow"/>
        <family val="2"/>
        <scheme val="minor"/>
      </rPr>
      <t xml:space="preserve"> Scale]. All questionnaire results are good, not changed in two tests. </t>
    </r>
  </si>
  <si>
    <r>
      <rPr>
        <b/>
        <sz val="12"/>
        <color theme="1"/>
        <rFont val="Aptos Narrow"/>
        <scheme val="minor"/>
      </rPr>
      <t>Player behaviors</t>
    </r>
    <r>
      <rPr>
        <sz val="12"/>
        <color theme="1"/>
        <rFont val="Aptos Narrow"/>
        <scheme val="minor"/>
      </rPr>
      <t>: Number of sessions played.</t>
    </r>
  </si>
  <si>
    <r>
      <rPr>
        <b/>
        <sz val="12"/>
        <color theme="1"/>
        <rFont val="Aptos Narrow"/>
        <scheme val="minor"/>
      </rPr>
      <t>TAM model</t>
    </r>
    <r>
      <rPr>
        <sz val="12"/>
        <color theme="1"/>
        <rFont val="Aptos Narrow"/>
        <family val="2"/>
        <scheme val="minor"/>
      </rPr>
      <t xml:space="preserve"> questionnaire and extra follow up one 36 months after user study; Perceived usefulness (n=57 first time, 18/21 second time), perceived ease of use (n=57, no report for second time), willingess to keep using the platform (n=47), preferred devices (TV, 9/21)</t>
    </r>
  </si>
  <si>
    <r>
      <t xml:space="preserve">
2 times In-</t>
    </r>
    <r>
      <rPr>
        <b/>
        <sz val="12"/>
        <color theme="1"/>
        <rFont val="Aptos Narrow"/>
        <scheme val="minor"/>
      </rPr>
      <t>Game Experience Questionnaire</t>
    </r>
    <r>
      <rPr>
        <sz val="12"/>
        <color theme="1"/>
        <rFont val="Aptos Narrow"/>
        <family val="2"/>
        <scheme val="minor"/>
      </rPr>
      <t xml:space="preserve"> (iGEQ). No number result for iGEQ.</t>
    </r>
  </si>
  <si>
    <r>
      <rPr>
        <b/>
        <sz val="12"/>
        <color theme="1"/>
        <rFont val="Aptos Narrow"/>
        <scheme val="minor"/>
      </rPr>
      <t xml:space="preserve">TAM model </t>
    </r>
    <r>
      <rPr>
        <sz val="12"/>
        <color theme="1"/>
        <rFont val="Aptos Narrow"/>
        <family val="2"/>
        <scheme val="minor"/>
      </rPr>
      <t>questionnaire, 5-scales, before and after, 7 questions for motivational and usefulness perceptions. Motivation was low initially, but increased 40-50% after experiencing artefact. The artefact was perceived as useful both before and after.</t>
    </r>
  </si>
  <si>
    <r>
      <rPr>
        <b/>
        <sz val="12"/>
        <color theme="1"/>
        <rFont val="Aptos Narrow"/>
        <scheme val="minor"/>
      </rPr>
      <t>TAM2 model</t>
    </r>
    <r>
      <rPr>
        <sz val="12"/>
        <color theme="1"/>
        <rFont val="Aptos Narrow"/>
        <family val="2"/>
        <scheme val="minor"/>
      </rPr>
      <t xml:space="preserve">, 13 questions. Result: &gt;5.3/7 for all items. Women had higher acceptance and felt the artefact fascinating and satisfied. Participants with lower education yielded higher scores (5.88 vs 5.72). But overall the differences for gender and education were small. </t>
    </r>
  </si>
  <si>
    <r>
      <rPr>
        <b/>
        <sz val="12"/>
        <color theme="1"/>
        <rFont val="Aptos Narrow"/>
        <scheme val="minor"/>
      </rPr>
      <t>Player behaviors:</t>
    </r>
    <r>
      <rPr>
        <sz val="12"/>
        <color theme="1"/>
        <rFont val="Aptos Narrow"/>
        <family val="2"/>
        <scheme val="minor"/>
      </rPr>
      <t xml:space="preserve"> Time spent playing, number of senarios played. Report the number with no benchmark. 
</t>
    </r>
  </si>
  <si>
    <r>
      <t xml:space="preserve">Two </t>
    </r>
    <r>
      <rPr>
        <b/>
        <sz val="12"/>
        <color theme="1"/>
        <rFont val="Aptos Narrow"/>
        <scheme val="minor"/>
      </rPr>
      <t>ad hoc</t>
    </r>
    <r>
      <rPr>
        <sz val="12"/>
        <color theme="1"/>
        <rFont val="Aptos Narrow"/>
        <scheme val="minor"/>
      </rPr>
      <t xml:space="preserve"> questions = 4.2/5 (/)</t>
    </r>
  </si>
  <si>
    <r>
      <rPr>
        <b/>
        <sz val="12"/>
        <color theme="1"/>
        <rFont val="Aptos Narrow"/>
        <scheme val="minor"/>
      </rPr>
      <t>TAM model</t>
    </r>
    <r>
      <rPr>
        <sz val="12"/>
        <color theme="1"/>
        <rFont val="Aptos Narrow"/>
        <family val="2"/>
        <scheme val="minor"/>
      </rPr>
      <t xml:space="preserve">, 6 items, asked before and after experiencing the artefact. Result: </t>
    </r>
    <r>
      <rPr>
        <b/>
        <sz val="12"/>
        <color theme="1"/>
        <rFont val="Aptos Narrow"/>
        <scheme val="minor"/>
      </rPr>
      <t xml:space="preserve">Perceived usefulness </t>
    </r>
    <r>
      <rPr>
        <sz val="12"/>
        <color theme="1"/>
        <rFont val="Aptos Narrow"/>
        <family val="2"/>
        <scheme val="minor"/>
      </rPr>
      <t xml:space="preserve">= 3.2(0.7), </t>
    </r>
    <r>
      <rPr>
        <b/>
        <sz val="12"/>
        <color theme="1"/>
        <rFont val="Aptos Narrow"/>
        <scheme val="minor"/>
      </rPr>
      <t>perceived ease of use</t>
    </r>
    <r>
      <rPr>
        <sz val="12"/>
        <color theme="1"/>
        <rFont val="Aptos Narrow"/>
        <family val="2"/>
        <scheme val="minor"/>
      </rPr>
      <t xml:space="preserve">= 3.4(0.3), </t>
    </r>
    <r>
      <rPr>
        <b/>
        <sz val="12"/>
        <color theme="1"/>
        <rFont val="Aptos Narrow"/>
        <scheme val="minor"/>
      </rPr>
      <t xml:space="preserve">attitude towards use </t>
    </r>
    <r>
      <rPr>
        <sz val="12"/>
        <color theme="1"/>
        <rFont val="Aptos Narrow"/>
        <family val="2"/>
        <scheme val="minor"/>
      </rPr>
      <t xml:space="preserve">= 3.6(0.5). </t>
    </r>
  </si>
  <si>
    <r>
      <t>SUS and</t>
    </r>
    <r>
      <rPr>
        <b/>
        <sz val="12"/>
        <color theme="1"/>
        <rFont val="Aptos Narrow"/>
        <scheme val="minor"/>
      </rPr>
      <t xml:space="preserve"> ad hoc questions</t>
    </r>
    <r>
      <rPr>
        <sz val="12"/>
        <color theme="1"/>
        <rFont val="Aptos Narrow"/>
        <family val="2"/>
        <scheme val="minor"/>
      </rPr>
      <t xml:space="preserve"> for design. The ad hoc eight questions, 5 points.  </t>
    </r>
    <r>
      <rPr>
        <b/>
        <sz val="12"/>
        <color theme="1"/>
        <rFont val="Aptos Narrow"/>
        <scheme val="minor"/>
      </rPr>
      <t>SUS</t>
    </r>
    <r>
      <rPr>
        <sz val="12"/>
        <color theme="1"/>
        <rFont val="Aptos Narrow"/>
        <family val="2"/>
        <scheme val="minor"/>
      </rPr>
      <t>=74.0(10.3); Ad hoc = 82.5(5.4)</t>
    </r>
  </si>
  <si>
    <r>
      <rPr>
        <b/>
        <sz val="12"/>
        <color theme="1"/>
        <rFont val="Aptos Narrow"/>
        <scheme val="minor"/>
      </rPr>
      <t>Player behaviors:</t>
    </r>
    <r>
      <rPr>
        <sz val="12"/>
        <color theme="1"/>
        <rFont val="Aptos Narrow"/>
        <family val="2"/>
        <scheme val="minor"/>
      </rPr>
      <t xml:space="preserve"> successful rate = 100%, time to complete=19.6(3.6) mins</t>
    </r>
    <r>
      <rPr>
        <sz val="12"/>
        <color theme="1"/>
        <rFont val="Aptos Narrow"/>
        <scheme val="minor"/>
      </rPr>
      <t xml:space="preserve">
</t>
    </r>
    <r>
      <rPr>
        <b/>
        <sz val="12"/>
        <color theme="1"/>
        <rFont val="Aptos Narrow"/>
        <scheme val="minor"/>
      </rPr>
      <t>Ad hoc questionnaire</t>
    </r>
    <r>
      <rPr>
        <sz val="12"/>
        <color theme="1"/>
        <rFont val="Aptos Narrow"/>
        <scheme val="minor"/>
      </rPr>
      <t>, 6 quesitons, 5-point scale, result = 24.8/30 (3.7)</t>
    </r>
  </si>
  <si>
    <t>Accessibility</t>
  </si>
  <si>
    <r>
      <rPr>
        <b/>
        <sz val="12"/>
        <color theme="1"/>
        <rFont val="Aptos Narrow"/>
        <scheme val="minor"/>
      </rPr>
      <t>Ad hoc questionnaire</t>
    </r>
    <r>
      <rPr>
        <sz val="12"/>
        <color theme="1"/>
        <rFont val="Aptos Narrow"/>
        <family val="2"/>
        <scheme val="minor"/>
      </rPr>
      <t>, 7 questions, 5-scale. Among questions, 4 are related to usability.</t>
    </r>
    <r>
      <rPr>
        <b/>
        <sz val="12"/>
        <color theme="1"/>
        <rFont val="Aptos Narrow"/>
        <scheme val="minor"/>
      </rPr>
      <t xml:space="preserve"> Usability</t>
    </r>
    <r>
      <rPr>
        <sz val="12"/>
        <color theme="1"/>
        <rFont val="Aptos Narrow"/>
        <family val="2"/>
        <scheme val="minor"/>
      </rPr>
      <t xml:space="preserve"> =3.98/5</t>
    </r>
    <r>
      <rPr>
        <sz val="12"/>
        <color theme="1"/>
        <rFont val="Aptos Narrow"/>
        <scheme val="minor"/>
      </rPr>
      <t xml:space="preserve">
with 3 experience items = 4.20</t>
    </r>
  </si>
  <si>
    <t>Usability(X)</t>
  </si>
  <si>
    <r>
      <t xml:space="preserve">Questionnaires used are: </t>
    </r>
    <r>
      <rPr>
        <b/>
        <sz val="12"/>
        <color theme="1"/>
        <rFont val="Aptos Narrow"/>
        <scheme val="minor"/>
      </rPr>
      <t>Players Experience of Need Satisfaction</t>
    </r>
    <r>
      <rPr>
        <sz val="12"/>
        <color theme="1"/>
        <rFont val="Aptos Narrow"/>
        <scheme val="minor"/>
      </rPr>
      <t xml:space="preserve"> (PENS) and </t>
    </r>
    <r>
      <rPr>
        <b/>
        <sz val="12"/>
        <color theme="1"/>
        <rFont val="Aptos Narrow"/>
        <scheme val="minor"/>
      </rPr>
      <t>Intrinsic Motivation Inventory</t>
    </r>
    <r>
      <rPr>
        <sz val="12"/>
        <color theme="1"/>
        <rFont val="Aptos Narrow"/>
        <scheme val="minor"/>
      </rPr>
      <t xml:space="preserve"> (IMI)</t>
    </r>
    <r>
      <rPr>
        <b/>
        <sz val="12"/>
        <color theme="1"/>
        <rFont val="Aptos Narrow"/>
        <scheme val="minor"/>
      </rPr>
      <t xml:space="preserve">
Perceived presence</t>
    </r>
    <r>
      <rPr>
        <sz val="12"/>
        <color theme="1"/>
        <rFont val="Aptos Narrow"/>
        <family val="2"/>
        <scheme val="minor"/>
      </rPr>
      <t xml:space="preserve"> = 4.59 (1.71) ;   </t>
    </r>
    <r>
      <rPr>
        <b/>
        <sz val="12"/>
        <color theme="1"/>
        <rFont val="Aptos Narrow"/>
        <scheme val="minor"/>
      </rPr>
      <t>Stress</t>
    </r>
    <r>
      <rPr>
        <sz val="12"/>
        <color theme="1"/>
        <rFont val="Aptos Narrow"/>
        <family val="2"/>
        <scheme val="minor"/>
      </rPr>
      <t xml:space="preserve"> = 2.73 (1.39); </t>
    </r>
    <r>
      <rPr>
        <b/>
        <sz val="12"/>
        <color theme="1"/>
        <rFont val="Aptos Narrow"/>
        <scheme val="minor"/>
      </rPr>
      <t>Competence</t>
    </r>
    <r>
      <rPr>
        <sz val="12"/>
        <color theme="1"/>
        <rFont val="Aptos Narrow"/>
        <family val="2"/>
        <scheme val="minor"/>
      </rPr>
      <t xml:space="preserve"> = 4.27 (1.78);
No significant difference between VR and PC for perceived stress (both VR and PC were low from IMI results).  </t>
    </r>
    <r>
      <rPr>
        <sz val="12"/>
        <color theme="1"/>
        <rFont val="Aptos Narrow"/>
        <scheme val="minor"/>
      </rPr>
      <t xml:space="preserve">Enjoyment = 5.64 (1.22);
VR version had higher enjoyment than PC (p=.003).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</si>
</sst>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b/>
      <sz val="12"/>
      <color theme="1"/>
      <name val="Aptos Narrow"/>
      <scheme val="minor"/>
    </font>
    <font>
      <sz val="12"/>
      <color theme="1"/>
      <name val="Aptos Narrow"/>
      <scheme val="minor"/>
    </font>
    <font>
      <sz val="12"/>
      <color theme="1"/>
      <name val="Times New Roman"/>
      <family val="1"/>
    </font>
    <font>
      <sz val="12"/>
      <color theme="5" tint="0.39997558519241921"/>
      <name val="Aptos Narrow"/>
      <scheme val="minor"/>
    </font>
    <font>
      <sz val="12"/>
      <color rgb="FFFF0000"/>
      <name val="Aptos Narrow"/>
      <scheme val="minor"/>
    </font>
    <font>
      <sz val="12"/>
      <color theme="6" tint="0.59999389629810485"/>
      <name val="Aptos Narrow"/>
      <scheme val="minor"/>
    </font>
    <font>
      <b/>
      <sz val="20"/>
      <color rgb="FF000000"/>
      <name val="Aptos Narrow"/>
      <scheme val="minor"/>
    </font>
    <font>
      <b/>
      <sz val="12"/>
      <color rgb="FF000000"/>
      <name val="Aptos Narrow"/>
      <scheme val="minor"/>
    </font>
    <font>
      <sz val="12"/>
      <color rgb="FF000000"/>
      <name val="Aptos Narrow"/>
      <family val="2"/>
      <scheme val="minor"/>
    </font>
    <font>
      <b/>
      <sz val="20"/>
      <color theme="1"/>
      <name val="Aptos Narrow"/>
      <scheme val="minor"/>
    </font>
  </fonts>
  <fills count="4">
    <fill>
      <patternFill patternType="none"/>
    </fill>
    <fill>
      <patternFill patternType="gray125"/>
    </fill>
    <fill>
      <patternFill patternType="solid">
        <fgColor rgb="FFA6A6A6"/>
        <bgColor rgb="FF000000"/>
      </patternFill>
    </fill>
    <fill>
      <patternFill patternType="solid">
        <fgColor theme="2"/>
        <bgColor indexed="64"/>
      </patternFill>
    </fill>
  </fills>
  <borders count="9">
    <border>
      <left/>
      <right/>
      <top/>
      <bottom/>
      <diagonal/>
    </border>
    <border>
      <left style="thin">
        <color indexed="64"/>
      </left>
      <right/>
      <top/>
      <bottom/>
      <diagonal/>
    </border>
    <border>
      <left/>
      <right style="thin">
        <color rgb="FF000000"/>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top/>
      <bottom/>
      <diagonal/>
    </border>
    <border>
      <left/>
      <right style="thin">
        <color indexed="64"/>
      </right>
      <top/>
      <bottom/>
      <diagonal/>
    </border>
    <border>
      <left/>
      <right/>
      <top style="thin">
        <color indexed="64"/>
      </top>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wrapText="1"/>
    </xf>
    <xf numFmtId="0" fontId="3" fillId="0" borderId="0" xfId="0" applyFont="1" applyAlignment="1">
      <alignment horizontal="left" vertical="center" indent="6"/>
    </xf>
    <xf numFmtId="0" fontId="4" fillId="0" borderId="0" xfId="0" applyFont="1"/>
    <xf numFmtId="0" fontId="5" fillId="0" borderId="0" xfId="0" applyFont="1"/>
    <xf numFmtId="0" fontId="6" fillId="0" borderId="0" xfId="0" applyFont="1"/>
    <xf numFmtId="20" fontId="0" fillId="0" borderId="0" xfId="0" applyNumberFormat="1"/>
    <xf numFmtId="0" fontId="0" fillId="0" borderId="1" xfId="0" applyBorder="1"/>
    <xf numFmtId="0" fontId="9" fillId="0" borderId="3" xfId="0" applyFont="1" applyBorder="1" applyAlignment="1">
      <alignment wrapText="1"/>
    </xf>
    <xf numFmtId="0" fontId="9" fillId="0" borderId="4" xfId="0" applyFont="1" applyBorder="1" applyAlignment="1">
      <alignment wrapText="1"/>
    </xf>
    <xf numFmtId="0" fontId="0" fillId="0" borderId="5" xfId="0" applyBorder="1" applyAlignment="1">
      <alignment wrapText="1"/>
    </xf>
    <xf numFmtId="0" fontId="9" fillId="0" borderId="5" xfId="0" applyFont="1" applyBorder="1" applyAlignment="1">
      <alignment wrapText="1"/>
    </xf>
    <xf numFmtId="0" fontId="1" fillId="0" borderId="0" xfId="0" applyFont="1" applyAlignment="1">
      <alignment horizontal="left" wrapText="1"/>
    </xf>
    <xf numFmtId="0" fontId="1" fillId="0" borderId="0" xfId="0" applyFont="1" applyAlignment="1">
      <alignment wrapText="1"/>
    </xf>
    <xf numFmtId="0" fontId="0" fillId="0" borderId="5" xfId="0" applyBorder="1" applyAlignment="1">
      <alignment horizontal="left" wrapText="1"/>
    </xf>
    <xf numFmtId="0" fontId="0" fillId="0" borderId="0" xfId="0" applyAlignment="1">
      <alignment horizontal="left" vertical="top"/>
    </xf>
    <xf numFmtId="0" fontId="9" fillId="0" borderId="0" xfId="0" applyFont="1"/>
    <xf numFmtId="49" fontId="0" fillId="0" borderId="0" xfId="0" applyNumberFormat="1" applyAlignment="1">
      <alignment wrapText="1"/>
    </xf>
    <xf numFmtId="49" fontId="0" fillId="0" borderId="0" xfId="0" applyNumberFormat="1" applyAlignment="1">
      <alignment horizontal="left" wrapText="1"/>
    </xf>
    <xf numFmtId="49" fontId="2" fillId="0" borderId="0" xfId="0" applyNumberFormat="1" applyFont="1" applyAlignment="1">
      <alignment wrapText="1"/>
    </xf>
    <xf numFmtId="0" fontId="0" fillId="0" borderId="5" xfId="0" applyBorder="1"/>
    <xf numFmtId="0" fontId="0" fillId="0" borderId="4" xfId="0" applyBorder="1"/>
    <xf numFmtId="0" fontId="0" fillId="3" borderId="0" xfId="0" applyFill="1"/>
    <xf numFmtId="0" fontId="0" fillId="3" borderId="0" xfId="0" applyFill="1" applyAlignment="1">
      <alignment wrapText="1"/>
    </xf>
    <xf numFmtId="0" fontId="0" fillId="3" borderId="8" xfId="0" applyFill="1" applyBorder="1"/>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xf>
    <xf numFmtId="0" fontId="9" fillId="0" borderId="0" xfId="0" applyFont="1" applyAlignment="1">
      <alignment vertical="center"/>
    </xf>
    <xf numFmtId="0" fontId="2" fillId="0" borderId="0" xfId="0" applyFont="1" applyAlignment="1">
      <alignment vertical="center"/>
    </xf>
    <xf numFmtId="0" fontId="0" fillId="0" borderId="0" xfId="0" applyAlignment="1">
      <alignment vertical="center" wrapText="1"/>
    </xf>
    <xf numFmtId="0" fontId="3"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wrapText="1"/>
    </xf>
    <xf numFmtId="0" fontId="9" fillId="0" borderId="0" xfId="0" applyFont="1" applyAlignment="1">
      <alignment vertical="center" wrapText="1"/>
    </xf>
    <xf numFmtId="0" fontId="10" fillId="3" borderId="0" xfId="0" applyFont="1" applyFill="1" applyAlignment="1">
      <alignment horizontal="center" wrapText="1"/>
    </xf>
    <xf numFmtId="0" fontId="1" fillId="0" borderId="6" xfId="0" applyFont="1" applyBorder="1" applyAlignment="1">
      <alignment horizontal="center"/>
    </xf>
    <xf numFmtId="0" fontId="1" fillId="0" borderId="7" xfId="0" applyFont="1" applyBorder="1" applyAlignment="1">
      <alignment horizontal="center"/>
    </xf>
    <xf numFmtId="0" fontId="7" fillId="2" borderId="0" xfId="0" applyFont="1" applyFill="1" applyAlignment="1">
      <alignment horizontal="center" wrapText="1"/>
    </xf>
    <xf numFmtId="0" fontId="8" fillId="0" borderId="1" xfId="0" applyFont="1" applyBorder="1" applyAlignment="1">
      <alignment horizontal="center" wrapText="1"/>
    </xf>
    <xf numFmtId="0" fontId="8" fillId="0" borderId="2" xfId="0" applyFont="1" applyBorder="1" applyAlignment="1">
      <alignment horizontal="center" wrapText="1"/>
    </xf>
    <xf numFmtId="0" fontId="8" fillId="0" borderId="6" xfId="0" applyFont="1" applyBorder="1" applyAlignment="1">
      <alignment horizontal="center" wrapText="1"/>
    </xf>
    <xf numFmtId="0" fontId="8" fillId="0" borderId="7" xfId="0" applyFont="1" applyBorder="1" applyAlignment="1">
      <alignment horizontal="center" wrapText="1"/>
    </xf>
    <xf numFmtId="0" fontId="2" fillId="0" borderId="0" xfId="0" applyFont="1" applyAlignment="1">
      <alignment horizontal="lef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Yu Chen" id="{50A12F6F-8227-D646-BFD7-F23C64F755E5}" userId="S::yu.chen@kuleuven.be::797578df-ab38-45a0-a816-f4d1016c360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O1" dT="2025-08-27T12:23:13.25" personId="{50A12F6F-8227-D646-BFD7-F23C64F755E5}" id="{10FF5215-5EE1-9347-B4C2-0D40E738287D}">
    <text>Boundaries can be open, and outcomes is not nesessary for games.</text>
  </threadedComment>
</ThreadedComments>
</file>

<file path=xl/threadedComments/threadedComment2.xml><?xml version="1.0" encoding="utf-8"?>
<ThreadedComments xmlns="http://schemas.microsoft.com/office/spreadsheetml/2018/threadedcomments" xmlns:x="http://schemas.openxmlformats.org/spreadsheetml/2006/main">
  <threadedComment ref="D1" dT="2025-08-17T22:04:07.45" personId="{50A12F6F-8227-D646-BFD7-F23C64F755E5}" id="{EABAEA35-FC6D-DF4A-8519-DBC70BD2E605}">
    <text>For 0, using exsiting games, or common daily life activities simulation.</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A7FAA-7BBA-7A4A-A510-88CF8374C2AE}">
  <dimension ref="A1:G93"/>
  <sheetViews>
    <sheetView topLeftCell="A27" zoomScale="180" workbookViewId="0">
      <selection activeCell="B81" sqref="B81"/>
    </sheetView>
  </sheetViews>
  <sheetFormatPr baseColWidth="10" defaultRowHeight="16" x14ac:dyDescent="0.2"/>
  <cols>
    <col min="2" max="2" width="21.6640625" customWidth="1"/>
    <col min="3" max="3" width="67.5" customWidth="1"/>
    <col min="4" max="4" width="16.1640625" customWidth="1"/>
  </cols>
  <sheetData>
    <row r="1" spans="1:7" x14ac:dyDescent="0.2">
      <c r="A1" t="s">
        <v>2</v>
      </c>
      <c r="B1" t="s">
        <v>3</v>
      </c>
      <c r="C1" t="s">
        <v>0</v>
      </c>
      <c r="D1" t="s">
        <v>5</v>
      </c>
      <c r="E1" t="s">
        <v>1</v>
      </c>
    </row>
    <row r="2" spans="1:7" x14ac:dyDescent="0.2">
      <c r="A2">
        <v>1</v>
      </c>
      <c r="B2" t="s">
        <v>7</v>
      </c>
      <c r="C2" t="s">
        <v>4</v>
      </c>
      <c r="D2" t="s">
        <v>6</v>
      </c>
      <c r="E2">
        <v>2004</v>
      </c>
    </row>
    <row r="3" spans="1:7" x14ac:dyDescent="0.2">
      <c r="A3">
        <v>1</v>
      </c>
      <c r="B3" t="s">
        <v>7</v>
      </c>
      <c r="C3" t="s">
        <v>220</v>
      </c>
      <c r="D3" t="s">
        <v>6</v>
      </c>
      <c r="E3">
        <v>2004</v>
      </c>
    </row>
    <row r="4" spans="1:7" x14ac:dyDescent="0.2">
      <c r="A4">
        <v>1</v>
      </c>
      <c r="B4" t="s">
        <v>7</v>
      </c>
      <c r="C4" t="s">
        <v>8</v>
      </c>
      <c r="D4" t="s">
        <v>6</v>
      </c>
      <c r="E4">
        <v>2006</v>
      </c>
    </row>
    <row r="5" spans="1:7" x14ac:dyDescent="0.2">
      <c r="A5">
        <v>1</v>
      </c>
      <c r="B5" t="s">
        <v>17</v>
      </c>
      <c r="C5" t="s">
        <v>9</v>
      </c>
      <c r="D5" t="s">
        <v>6</v>
      </c>
      <c r="E5">
        <v>2006</v>
      </c>
      <c r="G5" t="s">
        <v>13</v>
      </c>
    </row>
    <row r="6" spans="1:7" x14ac:dyDescent="0.2">
      <c r="A6">
        <v>1</v>
      </c>
      <c r="B6" t="s">
        <v>17</v>
      </c>
      <c r="C6" t="s">
        <v>10</v>
      </c>
      <c r="D6" t="s">
        <v>6</v>
      </c>
      <c r="E6">
        <v>2007</v>
      </c>
    </row>
    <row r="7" spans="1:7" x14ac:dyDescent="0.2">
      <c r="A7">
        <v>1</v>
      </c>
      <c r="B7" t="s">
        <v>12</v>
      </c>
      <c r="C7" t="s">
        <v>11</v>
      </c>
      <c r="D7" t="s">
        <v>6</v>
      </c>
      <c r="E7">
        <v>2008</v>
      </c>
    </row>
    <row r="8" spans="1:7" x14ac:dyDescent="0.2">
      <c r="A8">
        <v>1</v>
      </c>
      <c r="B8" t="s">
        <v>16</v>
      </c>
      <c r="C8" t="s">
        <v>15</v>
      </c>
      <c r="D8" t="s">
        <v>14</v>
      </c>
      <c r="E8">
        <v>2009</v>
      </c>
    </row>
    <row r="9" spans="1:7" x14ac:dyDescent="0.2">
      <c r="A9">
        <v>2</v>
      </c>
      <c r="B9" t="s">
        <v>20</v>
      </c>
      <c r="C9" t="s">
        <v>18</v>
      </c>
      <c r="D9" t="s">
        <v>19</v>
      </c>
      <c r="E9">
        <v>2010</v>
      </c>
    </row>
    <row r="10" spans="1:7" x14ac:dyDescent="0.2">
      <c r="A10">
        <v>3</v>
      </c>
      <c r="B10" t="s">
        <v>21</v>
      </c>
      <c r="C10" t="s">
        <v>22</v>
      </c>
      <c r="D10" t="s">
        <v>23</v>
      </c>
      <c r="E10">
        <v>2012</v>
      </c>
    </row>
    <row r="11" spans="1:7" x14ac:dyDescent="0.2">
      <c r="A11">
        <v>4</v>
      </c>
      <c r="B11" t="s">
        <v>26</v>
      </c>
      <c r="C11" t="s">
        <v>24</v>
      </c>
      <c r="D11" t="s">
        <v>25</v>
      </c>
      <c r="E11">
        <v>2012</v>
      </c>
    </row>
    <row r="12" spans="1:7" x14ac:dyDescent="0.2">
      <c r="A12">
        <v>5</v>
      </c>
      <c r="B12" t="s">
        <v>28</v>
      </c>
      <c r="C12" t="s">
        <v>27</v>
      </c>
      <c r="D12" t="s">
        <v>29</v>
      </c>
      <c r="E12">
        <v>2012</v>
      </c>
    </row>
    <row r="13" spans="1:7" x14ac:dyDescent="0.2">
      <c r="A13">
        <v>6</v>
      </c>
      <c r="B13" t="s">
        <v>32</v>
      </c>
      <c r="C13" t="s">
        <v>30</v>
      </c>
      <c r="D13" t="s">
        <v>31</v>
      </c>
      <c r="E13">
        <v>2014</v>
      </c>
    </row>
    <row r="14" spans="1:7" x14ac:dyDescent="0.2">
      <c r="A14">
        <v>7</v>
      </c>
      <c r="B14" t="s">
        <v>74</v>
      </c>
      <c r="C14" t="s">
        <v>34</v>
      </c>
      <c r="D14" t="s">
        <v>33</v>
      </c>
      <c r="E14">
        <v>2014</v>
      </c>
    </row>
    <row r="15" spans="1:7" x14ac:dyDescent="0.2">
      <c r="A15">
        <v>8</v>
      </c>
      <c r="B15" t="s">
        <v>37</v>
      </c>
      <c r="C15" t="s">
        <v>35</v>
      </c>
      <c r="D15" t="s">
        <v>36</v>
      </c>
      <c r="E15">
        <v>2014</v>
      </c>
    </row>
    <row r="16" spans="1:7" x14ac:dyDescent="0.2">
      <c r="A16">
        <v>9</v>
      </c>
      <c r="B16" t="s">
        <v>40</v>
      </c>
      <c r="C16" t="s">
        <v>38</v>
      </c>
      <c r="D16" t="s">
        <v>39</v>
      </c>
      <c r="E16">
        <v>2014</v>
      </c>
    </row>
    <row r="17" spans="1:6" x14ac:dyDescent="0.2">
      <c r="A17">
        <v>7</v>
      </c>
      <c r="B17" t="s">
        <v>74</v>
      </c>
      <c r="C17" t="s">
        <v>41</v>
      </c>
      <c r="D17" t="s">
        <v>42</v>
      </c>
      <c r="E17">
        <v>2014</v>
      </c>
    </row>
    <row r="18" spans="1:6" x14ac:dyDescent="0.2">
      <c r="A18">
        <v>10</v>
      </c>
      <c r="B18" t="s">
        <v>44</v>
      </c>
      <c r="C18" t="s">
        <v>43</v>
      </c>
      <c r="D18" t="s">
        <v>45</v>
      </c>
      <c r="E18">
        <v>2015</v>
      </c>
    </row>
    <row r="19" spans="1:6" x14ac:dyDescent="0.2">
      <c r="A19">
        <v>11</v>
      </c>
      <c r="B19" t="s">
        <v>48</v>
      </c>
      <c r="C19" t="s">
        <v>46</v>
      </c>
      <c r="D19" t="s">
        <v>47</v>
      </c>
      <c r="E19">
        <v>2015</v>
      </c>
    </row>
    <row r="20" spans="1:6" x14ac:dyDescent="0.2">
      <c r="A20">
        <v>12</v>
      </c>
      <c r="B20" t="s">
        <v>51</v>
      </c>
      <c r="C20" t="s">
        <v>49</v>
      </c>
      <c r="D20" t="s">
        <v>50</v>
      </c>
      <c r="E20">
        <v>2015</v>
      </c>
    </row>
    <row r="21" spans="1:6" x14ac:dyDescent="0.2">
      <c r="A21">
        <v>6</v>
      </c>
      <c r="B21" t="s">
        <v>32</v>
      </c>
      <c r="C21" t="s">
        <v>52</v>
      </c>
      <c r="D21" t="s">
        <v>31</v>
      </c>
      <c r="E21">
        <v>2015</v>
      </c>
    </row>
    <row r="22" spans="1:6" x14ac:dyDescent="0.2">
      <c r="A22">
        <v>7</v>
      </c>
      <c r="B22" t="s">
        <v>74</v>
      </c>
      <c r="C22" t="s">
        <v>53</v>
      </c>
      <c r="D22" t="s">
        <v>33</v>
      </c>
      <c r="E22">
        <v>2015</v>
      </c>
    </row>
    <row r="23" spans="1:6" x14ac:dyDescent="0.2">
      <c r="A23">
        <v>13</v>
      </c>
      <c r="B23" t="s">
        <v>55</v>
      </c>
      <c r="C23" t="s">
        <v>56</v>
      </c>
      <c r="D23" t="s">
        <v>54</v>
      </c>
      <c r="E23">
        <v>2015</v>
      </c>
    </row>
    <row r="24" spans="1:6" x14ac:dyDescent="0.2">
      <c r="A24">
        <v>14</v>
      </c>
      <c r="B24" t="s">
        <v>59</v>
      </c>
      <c r="C24" t="s">
        <v>57</v>
      </c>
      <c r="D24" t="s">
        <v>58</v>
      </c>
      <c r="E24">
        <v>2015</v>
      </c>
    </row>
    <row r="25" spans="1:6" x14ac:dyDescent="0.2">
      <c r="A25">
        <v>15</v>
      </c>
      <c r="B25" t="s">
        <v>62</v>
      </c>
      <c r="C25" t="s">
        <v>60</v>
      </c>
      <c r="D25" t="s">
        <v>61</v>
      </c>
      <c r="E25">
        <v>2016</v>
      </c>
    </row>
    <row r="26" spans="1:6" x14ac:dyDescent="0.2">
      <c r="A26">
        <v>15</v>
      </c>
      <c r="B26" t="s">
        <v>62</v>
      </c>
      <c r="C26" t="s">
        <v>63</v>
      </c>
      <c r="D26" t="s">
        <v>61</v>
      </c>
      <c r="E26">
        <v>2016</v>
      </c>
    </row>
    <row r="27" spans="1:6" x14ac:dyDescent="0.2">
      <c r="A27">
        <v>16</v>
      </c>
      <c r="B27" t="s">
        <v>65</v>
      </c>
      <c r="C27" t="s">
        <v>64</v>
      </c>
      <c r="D27" t="s">
        <v>125</v>
      </c>
      <c r="E27">
        <v>2016</v>
      </c>
    </row>
    <row r="28" spans="1:6" x14ac:dyDescent="0.2">
      <c r="A28">
        <v>17</v>
      </c>
      <c r="B28" t="s">
        <v>68</v>
      </c>
      <c r="C28" t="s">
        <v>66</v>
      </c>
      <c r="D28" t="s">
        <v>67</v>
      </c>
      <c r="E28">
        <v>2016</v>
      </c>
      <c r="F28" t="s">
        <v>71</v>
      </c>
    </row>
    <row r="29" spans="1:6" x14ac:dyDescent="0.2">
      <c r="A29">
        <v>6</v>
      </c>
      <c r="B29" t="s">
        <v>32</v>
      </c>
      <c r="C29" t="s">
        <v>69</v>
      </c>
      <c r="D29" t="s">
        <v>31</v>
      </c>
      <c r="E29">
        <v>2016</v>
      </c>
    </row>
    <row r="30" spans="1:6" x14ac:dyDescent="0.2">
      <c r="A30">
        <v>9</v>
      </c>
      <c r="B30" t="s">
        <v>40</v>
      </c>
      <c r="C30" t="s">
        <v>70</v>
      </c>
      <c r="D30" t="s">
        <v>39</v>
      </c>
      <c r="E30">
        <v>2016</v>
      </c>
      <c r="F30" t="s">
        <v>71</v>
      </c>
    </row>
    <row r="31" spans="1:6" x14ac:dyDescent="0.2">
      <c r="A31">
        <v>7</v>
      </c>
      <c r="B31" t="s">
        <v>74</v>
      </c>
      <c r="C31" t="s">
        <v>73</v>
      </c>
      <c r="D31" t="s">
        <v>72</v>
      </c>
      <c r="E31">
        <v>2017</v>
      </c>
    </row>
    <row r="32" spans="1:6" x14ac:dyDescent="0.2">
      <c r="A32">
        <v>18</v>
      </c>
      <c r="B32" t="s">
        <v>85</v>
      </c>
      <c r="C32" t="s">
        <v>75</v>
      </c>
      <c r="D32" t="s">
        <v>76</v>
      </c>
      <c r="E32">
        <v>2017</v>
      </c>
    </row>
    <row r="33" spans="1:5" x14ac:dyDescent="0.2">
      <c r="A33">
        <v>19</v>
      </c>
      <c r="B33" t="s">
        <v>78</v>
      </c>
      <c r="C33" t="s">
        <v>77</v>
      </c>
      <c r="D33" t="s">
        <v>79</v>
      </c>
      <c r="E33">
        <v>2017</v>
      </c>
    </row>
    <row r="34" spans="1:5" x14ac:dyDescent="0.2">
      <c r="A34">
        <v>20</v>
      </c>
      <c r="B34" t="s">
        <v>81</v>
      </c>
      <c r="C34" t="s">
        <v>80</v>
      </c>
      <c r="D34" t="s">
        <v>163</v>
      </c>
      <c r="E34">
        <v>2017</v>
      </c>
    </row>
    <row r="35" spans="1:5" x14ac:dyDescent="0.2">
      <c r="A35">
        <v>21</v>
      </c>
      <c r="B35" t="s">
        <v>84</v>
      </c>
      <c r="C35" t="s">
        <v>82</v>
      </c>
      <c r="D35" t="s">
        <v>83</v>
      </c>
      <c r="E35">
        <v>2017</v>
      </c>
    </row>
    <row r="36" spans="1:5" x14ac:dyDescent="0.2">
      <c r="A36">
        <v>22</v>
      </c>
      <c r="B36" t="s">
        <v>88</v>
      </c>
      <c r="C36" t="s">
        <v>86</v>
      </c>
      <c r="D36" t="s">
        <v>87</v>
      </c>
      <c r="E36">
        <v>2017</v>
      </c>
    </row>
    <row r="37" spans="1:5" x14ac:dyDescent="0.2">
      <c r="A37">
        <v>23</v>
      </c>
      <c r="B37" t="s">
        <v>90</v>
      </c>
      <c r="C37" t="s">
        <v>89</v>
      </c>
      <c r="D37" t="s">
        <v>39</v>
      </c>
      <c r="E37">
        <v>2017</v>
      </c>
    </row>
    <row r="38" spans="1:5" x14ac:dyDescent="0.2">
      <c r="A38">
        <v>3</v>
      </c>
      <c r="B38" t="s">
        <v>21</v>
      </c>
      <c r="C38" t="s">
        <v>91</v>
      </c>
      <c r="D38" t="s">
        <v>92</v>
      </c>
      <c r="E38">
        <v>2017</v>
      </c>
    </row>
    <row r="39" spans="1:5" x14ac:dyDescent="0.2">
      <c r="A39">
        <v>14</v>
      </c>
      <c r="B39" t="s">
        <v>59</v>
      </c>
      <c r="C39" t="s">
        <v>93</v>
      </c>
      <c r="D39" t="s">
        <v>58</v>
      </c>
      <c r="E39">
        <v>2017</v>
      </c>
    </row>
    <row r="40" spans="1:5" x14ac:dyDescent="0.2">
      <c r="A40">
        <v>24</v>
      </c>
      <c r="B40" t="s">
        <v>96</v>
      </c>
      <c r="C40" t="s">
        <v>94</v>
      </c>
      <c r="D40" t="s">
        <v>95</v>
      </c>
      <c r="E40">
        <v>2018</v>
      </c>
    </row>
    <row r="41" spans="1:5" x14ac:dyDescent="0.2">
      <c r="A41">
        <v>25</v>
      </c>
      <c r="B41" t="s">
        <v>99</v>
      </c>
      <c r="C41" t="s">
        <v>97</v>
      </c>
      <c r="D41" t="s">
        <v>98</v>
      </c>
      <c r="E41">
        <v>2018</v>
      </c>
    </row>
    <row r="42" spans="1:5" x14ac:dyDescent="0.2">
      <c r="A42">
        <v>22</v>
      </c>
      <c r="B42" t="s">
        <v>88</v>
      </c>
      <c r="C42" t="s">
        <v>100</v>
      </c>
      <c r="D42" t="s">
        <v>87</v>
      </c>
      <c r="E42">
        <v>2018</v>
      </c>
    </row>
    <row r="43" spans="1:5" x14ac:dyDescent="0.2">
      <c r="A43">
        <v>22</v>
      </c>
      <c r="B43" t="s">
        <v>88</v>
      </c>
      <c r="C43" t="s">
        <v>101</v>
      </c>
      <c r="D43" t="s">
        <v>87</v>
      </c>
      <c r="E43">
        <v>2018</v>
      </c>
    </row>
    <row r="44" spans="1:5" x14ac:dyDescent="0.2">
      <c r="A44">
        <v>23</v>
      </c>
      <c r="B44" t="s">
        <v>90</v>
      </c>
      <c r="C44" t="s">
        <v>102</v>
      </c>
      <c r="D44" t="s">
        <v>39</v>
      </c>
      <c r="E44">
        <v>2018</v>
      </c>
    </row>
    <row r="45" spans="1:5" x14ac:dyDescent="0.2">
      <c r="A45">
        <v>26</v>
      </c>
      <c r="B45" t="s">
        <v>105</v>
      </c>
      <c r="C45" t="s">
        <v>103</v>
      </c>
      <c r="D45" t="s">
        <v>104</v>
      </c>
      <c r="E45">
        <v>2018</v>
      </c>
    </row>
    <row r="46" spans="1:5" x14ac:dyDescent="0.2">
      <c r="A46">
        <v>27</v>
      </c>
      <c r="B46" t="s">
        <v>108</v>
      </c>
      <c r="C46" t="s">
        <v>106</v>
      </c>
      <c r="D46" t="s">
        <v>107</v>
      </c>
      <c r="E46">
        <v>2019</v>
      </c>
    </row>
    <row r="47" spans="1:5" x14ac:dyDescent="0.2">
      <c r="A47">
        <v>28</v>
      </c>
      <c r="B47" t="s">
        <v>111</v>
      </c>
      <c r="C47" t="s">
        <v>109</v>
      </c>
      <c r="D47" t="s">
        <v>110</v>
      </c>
      <c r="E47">
        <v>2019</v>
      </c>
    </row>
    <row r="48" spans="1:5" x14ac:dyDescent="0.2">
      <c r="A48">
        <v>29</v>
      </c>
      <c r="B48" t="s">
        <v>112</v>
      </c>
      <c r="C48" t="s">
        <v>221</v>
      </c>
      <c r="D48" t="s">
        <v>79</v>
      </c>
      <c r="E48">
        <v>2019</v>
      </c>
    </row>
    <row r="49" spans="1:5" x14ac:dyDescent="0.2">
      <c r="A49">
        <v>29</v>
      </c>
      <c r="B49" t="s">
        <v>112</v>
      </c>
      <c r="C49" t="s">
        <v>113</v>
      </c>
      <c r="D49" t="s">
        <v>79</v>
      </c>
      <c r="E49">
        <v>2019</v>
      </c>
    </row>
    <row r="50" spans="1:5" x14ac:dyDescent="0.2">
      <c r="A50">
        <v>30</v>
      </c>
      <c r="B50" t="s">
        <v>116</v>
      </c>
      <c r="C50" t="s">
        <v>114</v>
      </c>
      <c r="D50" t="s">
        <v>115</v>
      </c>
      <c r="E50">
        <v>2019</v>
      </c>
    </row>
    <row r="51" spans="1:5" x14ac:dyDescent="0.2">
      <c r="A51">
        <v>24</v>
      </c>
      <c r="B51" t="s">
        <v>96</v>
      </c>
      <c r="C51" t="s">
        <v>117</v>
      </c>
      <c r="D51" t="s">
        <v>95</v>
      </c>
      <c r="E51">
        <v>2019</v>
      </c>
    </row>
    <row r="52" spans="1:5" x14ac:dyDescent="0.2">
      <c r="A52">
        <v>22</v>
      </c>
      <c r="B52" t="s">
        <v>88</v>
      </c>
      <c r="C52" t="s">
        <v>118</v>
      </c>
      <c r="D52" t="s">
        <v>119</v>
      </c>
      <c r="E52">
        <v>2019</v>
      </c>
    </row>
    <row r="53" spans="1:5" x14ac:dyDescent="0.2">
      <c r="A53">
        <v>22</v>
      </c>
      <c r="B53" t="s">
        <v>88</v>
      </c>
      <c r="C53" t="s">
        <v>120</v>
      </c>
      <c r="D53" t="s">
        <v>87</v>
      </c>
      <c r="E53">
        <v>2019</v>
      </c>
    </row>
    <row r="54" spans="1:5" x14ac:dyDescent="0.2">
      <c r="A54">
        <v>31</v>
      </c>
      <c r="B54" t="s">
        <v>123</v>
      </c>
      <c r="C54" t="s">
        <v>121</v>
      </c>
      <c r="D54" t="s">
        <v>122</v>
      </c>
      <c r="E54">
        <v>2019</v>
      </c>
    </row>
    <row r="55" spans="1:5" x14ac:dyDescent="0.2">
      <c r="A55">
        <v>16</v>
      </c>
      <c r="B55" t="s">
        <v>65</v>
      </c>
      <c r="C55" t="s">
        <v>124</v>
      </c>
      <c r="D55" t="s">
        <v>125</v>
      </c>
      <c r="E55">
        <v>2020</v>
      </c>
    </row>
    <row r="56" spans="1:5" x14ac:dyDescent="0.2">
      <c r="A56">
        <v>24</v>
      </c>
      <c r="B56" t="s">
        <v>224</v>
      </c>
      <c r="C56" t="s">
        <v>222</v>
      </c>
      <c r="D56" t="s">
        <v>223</v>
      </c>
      <c r="E56">
        <v>2020</v>
      </c>
    </row>
    <row r="57" spans="1:5" x14ac:dyDescent="0.2">
      <c r="A57">
        <v>32</v>
      </c>
      <c r="B57" t="s">
        <v>128</v>
      </c>
      <c r="C57" t="s">
        <v>126</v>
      </c>
      <c r="D57" t="s">
        <v>127</v>
      </c>
      <c r="E57">
        <v>2021</v>
      </c>
    </row>
    <row r="58" spans="1:5" x14ac:dyDescent="0.2">
      <c r="A58">
        <v>19</v>
      </c>
      <c r="B58" t="s">
        <v>78</v>
      </c>
      <c r="C58" t="s">
        <v>129</v>
      </c>
      <c r="D58" t="s">
        <v>79</v>
      </c>
      <c r="E58">
        <v>2021</v>
      </c>
    </row>
    <row r="59" spans="1:5" x14ac:dyDescent="0.2">
      <c r="A59">
        <v>19</v>
      </c>
      <c r="B59" t="s">
        <v>78</v>
      </c>
      <c r="C59" t="s">
        <v>130</v>
      </c>
      <c r="D59" t="s">
        <v>79</v>
      </c>
      <c r="E59">
        <v>2021</v>
      </c>
    </row>
    <row r="60" spans="1:5" x14ac:dyDescent="0.2">
      <c r="A60">
        <v>14</v>
      </c>
      <c r="B60" t="s">
        <v>59</v>
      </c>
      <c r="C60" t="s">
        <v>131</v>
      </c>
      <c r="D60" t="s">
        <v>132</v>
      </c>
      <c r="E60">
        <v>2021</v>
      </c>
    </row>
    <row r="61" spans="1:5" x14ac:dyDescent="0.2">
      <c r="A61">
        <v>7</v>
      </c>
      <c r="B61" t="s">
        <v>74</v>
      </c>
      <c r="C61" t="s">
        <v>133</v>
      </c>
      <c r="D61" t="s">
        <v>134</v>
      </c>
      <c r="E61">
        <v>2021</v>
      </c>
    </row>
    <row r="62" spans="1:5" x14ac:dyDescent="0.2">
      <c r="A62">
        <v>33</v>
      </c>
      <c r="B62" t="s">
        <v>137</v>
      </c>
      <c r="C62" t="s">
        <v>135</v>
      </c>
      <c r="D62" t="s">
        <v>136</v>
      </c>
      <c r="E62">
        <v>2021</v>
      </c>
    </row>
    <row r="63" spans="1:5" x14ac:dyDescent="0.2">
      <c r="A63">
        <v>17</v>
      </c>
      <c r="B63" t="s">
        <v>68</v>
      </c>
      <c r="C63" t="s">
        <v>138</v>
      </c>
      <c r="D63" t="s">
        <v>67</v>
      </c>
      <c r="E63">
        <v>2021</v>
      </c>
    </row>
    <row r="64" spans="1:5" x14ac:dyDescent="0.2">
      <c r="A64">
        <v>34</v>
      </c>
      <c r="B64" t="s">
        <v>139</v>
      </c>
      <c r="C64" t="s">
        <v>140</v>
      </c>
      <c r="D64" t="s">
        <v>141</v>
      </c>
      <c r="E64">
        <v>2021</v>
      </c>
    </row>
    <row r="65" spans="1:5" x14ac:dyDescent="0.2">
      <c r="A65">
        <v>35</v>
      </c>
      <c r="B65" t="s">
        <v>144</v>
      </c>
      <c r="C65" t="s">
        <v>142</v>
      </c>
      <c r="D65" t="s">
        <v>143</v>
      </c>
      <c r="E65">
        <v>2021</v>
      </c>
    </row>
    <row r="66" spans="1:5" x14ac:dyDescent="0.2">
      <c r="A66">
        <v>36</v>
      </c>
      <c r="B66" t="s">
        <v>147</v>
      </c>
      <c r="C66" t="s">
        <v>145</v>
      </c>
      <c r="D66" t="s">
        <v>146</v>
      </c>
      <c r="E66">
        <v>2021</v>
      </c>
    </row>
    <row r="67" spans="1:5" x14ac:dyDescent="0.2">
      <c r="A67">
        <v>37</v>
      </c>
      <c r="B67" t="s">
        <v>150</v>
      </c>
      <c r="C67" t="s">
        <v>148</v>
      </c>
      <c r="D67" t="s">
        <v>149</v>
      </c>
      <c r="E67">
        <v>2021</v>
      </c>
    </row>
    <row r="68" spans="1:5" x14ac:dyDescent="0.2">
      <c r="A68">
        <v>38</v>
      </c>
      <c r="B68" t="s">
        <v>153</v>
      </c>
      <c r="C68" t="s">
        <v>151</v>
      </c>
      <c r="D68" t="s">
        <v>152</v>
      </c>
      <c r="E68">
        <v>2022</v>
      </c>
    </row>
    <row r="69" spans="1:5" x14ac:dyDescent="0.2">
      <c r="A69">
        <v>39</v>
      </c>
      <c r="B69" t="s">
        <v>156</v>
      </c>
      <c r="C69" t="s">
        <v>154</v>
      </c>
      <c r="D69" t="s">
        <v>155</v>
      </c>
      <c r="E69">
        <v>2022</v>
      </c>
    </row>
    <row r="70" spans="1:5" x14ac:dyDescent="0.2">
      <c r="A70">
        <v>33</v>
      </c>
      <c r="B70" t="s">
        <v>137</v>
      </c>
      <c r="C70" t="s">
        <v>157</v>
      </c>
      <c r="D70" t="s">
        <v>158</v>
      </c>
      <c r="E70">
        <v>2022</v>
      </c>
    </row>
    <row r="71" spans="1:5" x14ac:dyDescent="0.2">
      <c r="A71">
        <v>40</v>
      </c>
      <c r="B71" t="s">
        <v>161</v>
      </c>
      <c r="C71" t="s">
        <v>159</v>
      </c>
      <c r="D71" t="s">
        <v>160</v>
      </c>
      <c r="E71">
        <v>2022</v>
      </c>
    </row>
    <row r="72" spans="1:5" x14ac:dyDescent="0.2">
      <c r="A72">
        <v>20</v>
      </c>
      <c r="B72" t="s">
        <v>81</v>
      </c>
      <c r="C72" t="s">
        <v>162</v>
      </c>
      <c r="D72" t="s">
        <v>163</v>
      </c>
      <c r="E72">
        <v>2022</v>
      </c>
    </row>
    <row r="73" spans="1:5" x14ac:dyDescent="0.2">
      <c r="A73">
        <v>41</v>
      </c>
      <c r="B73" t="s">
        <v>166</v>
      </c>
      <c r="C73" t="s">
        <v>164</v>
      </c>
      <c r="D73" t="s">
        <v>165</v>
      </c>
      <c r="E73">
        <v>2022</v>
      </c>
    </row>
    <row r="74" spans="1:5" x14ac:dyDescent="0.2">
      <c r="A74">
        <v>42</v>
      </c>
      <c r="B74" t="s">
        <v>170</v>
      </c>
      <c r="C74" t="s">
        <v>168</v>
      </c>
      <c r="D74" t="s">
        <v>169</v>
      </c>
      <c r="E74">
        <v>2022</v>
      </c>
    </row>
    <row r="75" spans="1:5" x14ac:dyDescent="0.2">
      <c r="A75">
        <v>43</v>
      </c>
      <c r="B75" t="s">
        <v>173</v>
      </c>
      <c r="C75" t="s">
        <v>171</v>
      </c>
      <c r="D75" t="s">
        <v>172</v>
      </c>
      <c r="E75">
        <v>2022</v>
      </c>
    </row>
    <row r="76" spans="1:5" x14ac:dyDescent="0.2">
      <c r="A76">
        <v>43</v>
      </c>
      <c r="B76" t="s">
        <v>173</v>
      </c>
      <c r="C76" t="s">
        <v>174</v>
      </c>
      <c r="D76" t="s">
        <v>172</v>
      </c>
      <c r="E76">
        <v>2022</v>
      </c>
    </row>
    <row r="77" spans="1:5" x14ac:dyDescent="0.2">
      <c r="A77">
        <v>44</v>
      </c>
      <c r="B77" t="s">
        <v>177</v>
      </c>
      <c r="C77" t="s">
        <v>175</v>
      </c>
      <c r="D77" t="s">
        <v>176</v>
      </c>
      <c r="E77">
        <v>2022</v>
      </c>
    </row>
    <row r="78" spans="1:5" x14ac:dyDescent="0.2">
      <c r="A78">
        <v>22</v>
      </c>
      <c r="B78" t="s">
        <v>88</v>
      </c>
      <c r="C78" t="s">
        <v>178</v>
      </c>
      <c r="D78" t="s">
        <v>119</v>
      </c>
      <c r="E78">
        <v>2022</v>
      </c>
    </row>
    <row r="79" spans="1:5" x14ac:dyDescent="0.2">
      <c r="A79">
        <v>45</v>
      </c>
      <c r="B79" t="s">
        <v>181</v>
      </c>
      <c r="C79" t="s">
        <v>179</v>
      </c>
      <c r="D79" t="s">
        <v>180</v>
      </c>
      <c r="E79">
        <v>2023</v>
      </c>
    </row>
    <row r="80" spans="1:5" x14ac:dyDescent="0.2">
      <c r="A80">
        <v>46</v>
      </c>
      <c r="B80" t="s">
        <v>183</v>
      </c>
      <c r="C80" t="s">
        <v>182</v>
      </c>
      <c r="D80" t="s">
        <v>167</v>
      </c>
      <c r="E80">
        <v>2023</v>
      </c>
    </row>
    <row r="81" spans="1:5" x14ac:dyDescent="0.2">
      <c r="A81">
        <v>47</v>
      </c>
      <c r="B81" t="s">
        <v>186</v>
      </c>
      <c r="C81" t="s">
        <v>184</v>
      </c>
      <c r="D81" t="s">
        <v>185</v>
      </c>
      <c r="E81">
        <v>2023</v>
      </c>
    </row>
    <row r="82" spans="1:5" x14ac:dyDescent="0.2">
      <c r="A82">
        <v>48</v>
      </c>
      <c r="B82" t="s">
        <v>188</v>
      </c>
      <c r="C82" t="s">
        <v>187</v>
      </c>
      <c r="D82" t="s">
        <v>189</v>
      </c>
      <c r="E82">
        <v>2023</v>
      </c>
    </row>
    <row r="83" spans="1:5" x14ac:dyDescent="0.2">
      <c r="A83">
        <v>49</v>
      </c>
      <c r="B83" t="s">
        <v>192</v>
      </c>
      <c r="C83" t="s">
        <v>190</v>
      </c>
      <c r="D83" t="s">
        <v>191</v>
      </c>
      <c r="E83">
        <v>2024</v>
      </c>
    </row>
    <row r="84" spans="1:5" x14ac:dyDescent="0.2">
      <c r="A84">
        <v>50</v>
      </c>
      <c r="B84" t="s">
        <v>181</v>
      </c>
      <c r="C84" t="s">
        <v>193</v>
      </c>
      <c r="D84" t="s">
        <v>180</v>
      </c>
      <c r="E84">
        <v>2024</v>
      </c>
    </row>
    <row r="85" spans="1:5" x14ac:dyDescent="0.2">
      <c r="A85">
        <v>51</v>
      </c>
      <c r="B85" t="s">
        <v>196</v>
      </c>
      <c r="C85" t="s">
        <v>194</v>
      </c>
      <c r="D85" t="s">
        <v>195</v>
      </c>
      <c r="E85">
        <v>2024</v>
      </c>
    </row>
    <row r="86" spans="1:5" x14ac:dyDescent="0.2">
      <c r="A86">
        <v>52</v>
      </c>
      <c r="B86" t="s">
        <v>199</v>
      </c>
      <c r="C86" t="s">
        <v>197</v>
      </c>
      <c r="D86" t="s">
        <v>198</v>
      </c>
      <c r="E86">
        <v>2024</v>
      </c>
    </row>
    <row r="87" spans="1:5" x14ac:dyDescent="0.2">
      <c r="A87">
        <v>53</v>
      </c>
      <c r="B87" t="s">
        <v>202</v>
      </c>
      <c r="C87" t="s">
        <v>200</v>
      </c>
      <c r="D87" t="s">
        <v>201</v>
      </c>
      <c r="E87">
        <v>2024</v>
      </c>
    </row>
    <row r="88" spans="1:5" x14ac:dyDescent="0.2">
      <c r="A88">
        <v>54</v>
      </c>
      <c r="B88" t="s">
        <v>205</v>
      </c>
      <c r="C88" t="s">
        <v>203</v>
      </c>
      <c r="D88" t="s">
        <v>204</v>
      </c>
      <c r="E88">
        <v>2024</v>
      </c>
    </row>
    <row r="89" spans="1:5" x14ac:dyDescent="0.2">
      <c r="A89">
        <v>55</v>
      </c>
      <c r="B89" t="s">
        <v>208</v>
      </c>
      <c r="C89" t="s">
        <v>206</v>
      </c>
      <c r="D89" t="s">
        <v>207</v>
      </c>
      <c r="E89">
        <v>2024</v>
      </c>
    </row>
    <row r="90" spans="1:5" x14ac:dyDescent="0.2">
      <c r="A90">
        <v>56</v>
      </c>
      <c r="B90" t="s">
        <v>211</v>
      </c>
      <c r="C90" t="s">
        <v>209</v>
      </c>
      <c r="D90" t="s">
        <v>210</v>
      </c>
      <c r="E90">
        <v>2025</v>
      </c>
    </row>
    <row r="91" spans="1:5" x14ac:dyDescent="0.2">
      <c r="A91">
        <v>57</v>
      </c>
      <c r="B91" t="s">
        <v>214</v>
      </c>
      <c r="C91" t="s">
        <v>212</v>
      </c>
      <c r="D91" t="s">
        <v>213</v>
      </c>
      <c r="E91">
        <v>2025</v>
      </c>
    </row>
    <row r="92" spans="1:5" x14ac:dyDescent="0.2">
      <c r="A92">
        <v>58</v>
      </c>
      <c r="B92" t="s">
        <v>216</v>
      </c>
      <c r="C92" t="s">
        <v>215</v>
      </c>
      <c r="D92" t="s">
        <v>225</v>
      </c>
      <c r="E92">
        <v>2025</v>
      </c>
    </row>
    <row r="93" spans="1:5" x14ac:dyDescent="0.2">
      <c r="A93">
        <v>59</v>
      </c>
      <c r="B93" t="s">
        <v>219</v>
      </c>
      <c r="C93" t="s">
        <v>217</v>
      </c>
      <c r="D93" t="s">
        <v>218</v>
      </c>
      <c r="E93">
        <v>2025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EEDC-165F-114F-8D01-C0995D15EF7E}">
  <dimension ref="A1:F64"/>
  <sheetViews>
    <sheetView topLeftCell="A37" zoomScale="187" workbookViewId="0">
      <selection activeCell="B36" sqref="B36"/>
    </sheetView>
  </sheetViews>
  <sheetFormatPr baseColWidth="10" defaultRowHeight="16" x14ac:dyDescent="0.2"/>
  <cols>
    <col min="2" max="2" width="19.5" customWidth="1"/>
    <col min="3" max="3" width="54.6640625" customWidth="1"/>
    <col min="4" max="4" width="15.6640625" customWidth="1"/>
    <col min="5" max="5" width="8.1640625" customWidth="1"/>
  </cols>
  <sheetData>
    <row r="1" spans="1:6" x14ac:dyDescent="0.2">
      <c r="A1" t="s">
        <v>2</v>
      </c>
      <c r="B1" t="s">
        <v>3</v>
      </c>
      <c r="C1" t="s">
        <v>0</v>
      </c>
      <c r="D1" t="s">
        <v>5</v>
      </c>
      <c r="E1" t="s">
        <v>1</v>
      </c>
      <c r="F1" t="s">
        <v>231</v>
      </c>
    </row>
    <row r="2" spans="1:6" x14ac:dyDescent="0.2">
      <c r="A2">
        <v>1</v>
      </c>
      <c r="B2" t="s">
        <v>7</v>
      </c>
      <c r="C2" t="s">
        <v>4</v>
      </c>
      <c r="D2" t="s">
        <v>6</v>
      </c>
      <c r="E2">
        <v>2004</v>
      </c>
    </row>
    <row r="3" spans="1:6" x14ac:dyDescent="0.2">
      <c r="A3">
        <v>1</v>
      </c>
      <c r="B3" t="s">
        <v>7</v>
      </c>
      <c r="C3" t="s">
        <v>220</v>
      </c>
      <c r="D3" t="s">
        <v>6</v>
      </c>
      <c r="E3">
        <v>2004</v>
      </c>
      <c r="F3" t="s">
        <v>230</v>
      </c>
    </row>
    <row r="4" spans="1:6" x14ac:dyDescent="0.2">
      <c r="A4">
        <v>1</v>
      </c>
      <c r="B4" t="s">
        <v>7</v>
      </c>
      <c r="C4" t="s">
        <v>8</v>
      </c>
      <c r="D4" t="s">
        <v>6</v>
      </c>
      <c r="E4">
        <v>2006</v>
      </c>
      <c r="F4" t="s">
        <v>230</v>
      </c>
    </row>
    <row r="5" spans="1:6" x14ac:dyDescent="0.2">
      <c r="A5">
        <v>1</v>
      </c>
      <c r="B5" t="s">
        <v>17</v>
      </c>
      <c r="C5" t="s">
        <v>9</v>
      </c>
      <c r="D5" t="s">
        <v>6</v>
      </c>
      <c r="E5">
        <v>2006</v>
      </c>
      <c r="F5" t="s">
        <v>230</v>
      </c>
    </row>
    <row r="6" spans="1:6" x14ac:dyDescent="0.2">
      <c r="A6">
        <v>1</v>
      </c>
      <c r="B6" t="s">
        <v>17</v>
      </c>
      <c r="C6" t="s">
        <v>10</v>
      </c>
      <c r="D6" t="s">
        <v>6</v>
      </c>
      <c r="E6">
        <v>2007</v>
      </c>
      <c r="F6" t="s">
        <v>230</v>
      </c>
    </row>
    <row r="7" spans="1:6" x14ac:dyDescent="0.2">
      <c r="A7">
        <v>1</v>
      </c>
      <c r="B7" t="s">
        <v>12</v>
      </c>
      <c r="C7" t="s">
        <v>11</v>
      </c>
      <c r="D7" t="s">
        <v>6</v>
      </c>
      <c r="E7">
        <v>2008</v>
      </c>
    </row>
    <row r="8" spans="1:6" x14ac:dyDescent="0.2">
      <c r="A8">
        <v>1</v>
      </c>
      <c r="B8" t="s">
        <v>16</v>
      </c>
      <c r="C8" t="s">
        <v>15</v>
      </c>
      <c r="D8" t="s">
        <v>14</v>
      </c>
      <c r="E8">
        <v>2009</v>
      </c>
    </row>
    <row r="9" spans="1:6" x14ac:dyDescent="0.2">
      <c r="A9">
        <v>2</v>
      </c>
      <c r="B9" t="s">
        <v>20</v>
      </c>
      <c r="C9" t="s">
        <v>18</v>
      </c>
      <c r="D9" t="s">
        <v>19</v>
      </c>
      <c r="E9">
        <v>2010</v>
      </c>
    </row>
    <row r="10" spans="1:6" x14ac:dyDescent="0.2">
      <c r="A10">
        <v>4</v>
      </c>
      <c r="B10" t="s">
        <v>26</v>
      </c>
      <c r="C10" t="s">
        <v>24</v>
      </c>
      <c r="D10" t="s">
        <v>25</v>
      </c>
      <c r="E10">
        <v>2012</v>
      </c>
    </row>
    <row r="11" spans="1:6" x14ac:dyDescent="0.2">
      <c r="A11">
        <v>6</v>
      </c>
      <c r="B11" t="s">
        <v>32</v>
      </c>
      <c r="C11" t="s">
        <v>30</v>
      </c>
      <c r="D11" t="s">
        <v>31</v>
      </c>
      <c r="E11">
        <v>2014</v>
      </c>
    </row>
    <row r="12" spans="1:6" x14ac:dyDescent="0.2">
      <c r="A12">
        <v>7</v>
      </c>
      <c r="B12" t="s">
        <v>74</v>
      </c>
      <c r="C12" t="s">
        <v>34</v>
      </c>
      <c r="D12" t="s">
        <v>33</v>
      </c>
      <c r="E12">
        <v>2014</v>
      </c>
      <c r="F12" t="s">
        <v>230</v>
      </c>
    </row>
    <row r="13" spans="1:6" x14ac:dyDescent="0.2">
      <c r="A13">
        <v>8</v>
      </c>
      <c r="B13" t="s">
        <v>37</v>
      </c>
      <c r="C13" t="s">
        <v>35</v>
      </c>
      <c r="D13" t="s">
        <v>36</v>
      </c>
      <c r="E13">
        <v>2014</v>
      </c>
    </row>
    <row r="14" spans="1:6" x14ac:dyDescent="0.2">
      <c r="A14">
        <v>7</v>
      </c>
      <c r="B14" t="s">
        <v>74</v>
      </c>
      <c r="C14" t="s">
        <v>41</v>
      </c>
      <c r="D14" t="s">
        <v>42</v>
      </c>
      <c r="E14">
        <v>2014</v>
      </c>
      <c r="F14" t="s">
        <v>230</v>
      </c>
    </row>
    <row r="15" spans="1:6" x14ac:dyDescent="0.2">
      <c r="A15">
        <v>10</v>
      </c>
      <c r="B15" t="s">
        <v>44</v>
      </c>
      <c r="C15" t="s">
        <v>43</v>
      </c>
      <c r="D15" t="s">
        <v>45</v>
      </c>
      <c r="E15">
        <v>2015</v>
      </c>
    </row>
    <row r="17" spans="1:6" x14ac:dyDescent="0.2">
      <c r="A17">
        <v>7</v>
      </c>
      <c r="B17" t="s">
        <v>74</v>
      </c>
      <c r="C17" t="s">
        <v>53</v>
      </c>
      <c r="D17" t="s">
        <v>33</v>
      </c>
      <c r="E17">
        <v>2015</v>
      </c>
    </row>
    <row r="18" spans="1:6" x14ac:dyDescent="0.2">
      <c r="A18">
        <v>14</v>
      </c>
      <c r="B18" t="s">
        <v>59</v>
      </c>
      <c r="C18" t="s">
        <v>57</v>
      </c>
      <c r="D18" t="s">
        <v>58</v>
      </c>
      <c r="E18">
        <v>2015</v>
      </c>
    </row>
    <row r="19" spans="1:6" x14ac:dyDescent="0.2">
      <c r="A19">
        <v>15</v>
      </c>
      <c r="B19" t="s">
        <v>62</v>
      </c>
      <c r="C19" t="s">
        <v>60</v>
      </c>
      <c r="D19" t="s">
        <v>61</v>
      </c>
      <c r="E19">
        <v>2016</v>
      </c>
      <c r="F19" t="s">
        <v>230</v>
      </c>
    </row>
    <row r="20" spans="1:6" x14ac:dyDescent="0.2">
      <c r="A20">
        <v>15</v>
      </c>
      <c r="B20" t="s">
        <v>62</v>
      </c>
      <c r="C20" t="s">
        <v>63</v>
      </c>
      <c r="D20" t="s">
        <v>61</v>
      </c>
      <c r="E20">
        <v>2016</v>
      </c>
    </row>
    <row r="22" spans="1:6" x14ac:dyDescent="0.2">
      <c r="A22">
        <v>6</v>
      </c>
      <c r="B22" t="s">
        <v>32</v>
      </c>
      <c r="C22" t="s">
        <v>69</v>
      </c>
      <c r="D22" t="s">
        <v>31</v>
      </c>
      <c r="E22">
        <v>2016</v>
      </c>
      <c r="F22" t="s">
        <v>230</v>
      </c>
    </row>
    <row r="23" spans="1:6" x14ac:dyDescent="0.2">
      <c r="A23">
        <v>18</v>
      </c>
      <c r="B23" t="s">
        <v>85</v>
      </c>
      <c r="C23" t="s">
        <v>75</v>
      </c>
      <c r="D23" t="s">
        <v>76</v>
      </c>
      <c r="E23">
        <v>2017</v>
      </c>
    </row>
    <row r="24" spans="1:6" x14ac:dyDescent="0.2">
      <c r="A24">
        <v>19</v>
      </c>
      <c r="B24" t="s">
        <v>78</v>
      </c>
      <c r="C24" t="s">
        <v>77</v>
      </c>
      <c r="D24" t="s">
        <v>79</v>
      </c>
      <c r="E24">
        <v>2017</v>
      </c>
      <c r="F24" t="s">
        <v>230</v>
      </c>
    </row>
    <row r="25" spans="1:6" x14ac:dyDescent="0.2">
      <c r="A25">
        <v>20</v>
      </c>
      <c r="B25" t="s">
        <v>81</v>
      </c>
      <c r="C25" t="s">
        <v>80</v>
      </c>
      <c r="D25" t="s">
        <v>163</v>
      </c>
      <c r="E25">
        <v>2017</v>
      </c>
    </row>
    <row r="26" spans="1:6" x14ac:dyDescent="0.2">
      <c r="A26">
        <v>21</v>
      </c>
      <c r="B26" t="s">
        <v>84</v>
      </c>
      <c r="C26" t="s">
        <v>82</v>
      </c>
      <c r="D26" t="s">
        <v>83</v>
      </c>
      <c r="E26">
        <v>2017</v>
      </c>
    </row>
    <row r="27" spans="1:6" x14ac:dyDescent="0.2">
      <c r="A27">
        <v>22</v>
      </c>
      <c r="B27" t="s">
        <v>88</v>
      </c>
      <c r="C27" t="s">
        <v>86</v>
      </c>
      <c r="D27" t="s">
        <v>87</v>
      </c>
      <c r="E27">
        <v>2017</v>
      </c>
    </row>
    <row r="29" spans="1:6" x14ac:dyDescent="0.2">
      <c r="A29">
        <v>3</v>
      </c>
      <c r="B29" t="s">
        <v>21</v>
      </c>
      <c r="C29" t="s">
        <v>91</v>
      </c>
      <c r="D29" t="s">
        <v>92</v>
      </c>
      <c r="E29">
        <v>2017</v>
      </c>
    </row>
    <row r="30" spans="1:6" x14ac:dyDescent="0.2">
      <c r="A30">
        <v>14</v>
      </c>
      <c r="B30" t="s">
        <v>59</v>
      </c>
      <c r="C30" t="s">
        <v>93</v>
      </c>
      <c r="D30" t="s">
        <v>58</v>
      </c>
      <c r="E30">
        <v>2017</v>
      </c>
      <c r="F30" t="s">
        <v>230</v>
      </c>
    </row>
    <row r="31" spans="1:6" x14ac:dyDescent="0.2">
      <c r="A31">
        <v>24</v>
      </c>
      <c r="B31" t="s">
        <v>96</v>
      </c>
      <c r="C31" t="s">
        <v>94</v>
      </c>
      <c r="D31" t="s">
        <v>95</v>
      </c>
      <c r="E31">
        <v>2018</v>
      </c>
    </row>
    <row r="32" spans="1:6" x14ac:dyDescent="0.2">
      <c r="A32">
        <v>25</v>
      </c>
      <c r="B32" t="s">
        <v>99</v>
      </c>
      <c r="C32" t="s">
        <v>97</v>
      </c>
      <c r="D32" t="s">
        <v>98</v>
      </c>
      <c r="E32">
        <v>2018</v>
      </c>
    </row>
    <row r="33" spans="1:6" x14ac:dyDescent="0.2">
      <c r="A33">
        <v>22</v>
      </c>
      <c r="B33" t="s">
        <v>88</v>
      </c>
      <c r="C33" t="s">
        <v>101</v>
      </c>
      <c r="D33" t="s">
        <v>87</v>
      </c>
      <c r="E33">
        <v>2018</v>
      </c>
      <c r="F33" t="s">
        <v>230</v>
      </c>
    </row>
    <row r="34" spans="1:6" x14ac:dyDescent="0.2">
      <c r="A34">
        <v>26</v>
      </c>
      <c r="B34" t="s">
        <v>105</v>
      </c>
      <c r="C34" t="s">
        <v>103</v>
      </c>
      <c r="D34" t="s">
        <v>104</v>
      </c>
      <c r="E34">
        <v>2018</v>
      </c>
    </row>
    <row r="35" spans="1:6" x14ac:dyDescent="0.2">
      <c r="A35">
        <v>27</v>
      </c>
      <c r="B35" t="s">
        <v>108</v>
      </c>
      <c r="C35" t="s">
        <v>106</v>
      </c>
      <c r="D35" t="s">
        <v>107</v>
      </c>
      <c r="E35">
        <v>2019</v>
      </c>
    </row>
    <row r="36" spans="1:6" x14ac:dyDescent="0.2">
      <c r="A36">
        <v>28</v>
      </c>
      <c r="B36" t="s">
        <v>111</v>
      </c>
      <c r="C36" t="s">
        <v>109</v>
      </c>
      <c r="D36" t="s">
        <v>110</v>
      </c>
      <c r="E36">
        <v>2019</v>
      </c>
    </row>
    <row r="37" spans="1:6" x14ac:dyDescent="0.2">
      <c r="A37">
        <v>29</v>
      </c>
      <c r="B37" t="s">
        <v>112</v>
      </c>
      <c r="C37" t="s">
        <v>113</v>
      </c>
      <c r="D37" t="s">
        <v>79</v>
      </c>
      <c r="E37">
        <v>2019</v>
      </c>
    </row>
    <row r="38" spans="1:6" x14ac:dyDescent="0.2">
      <c r="C38" t="s">
        <v>226</v>
      </c>
      <c r="D38" t="s">
        <v>227</v>
      </c>
      <c r="E38">
        <v>2019</v>
      </c>
    </row>
    <row r="39" spans="1:6" x14ac:dyDescent="0.2">
      <c r="A39">
        <v>30</v>
      </c>
      <c r="B39" t="s">
        <v>116</v>
      </c>
      <c r="C39" t="s">
        <v>114</v>
      </c>
      <c r="D39" t="s">
        <v>115</v>
      </c>
      <c r="E39">
        <v>2019</v>
      </c>
    </row>
    <row r="42" spans="1:6" x14ac:dyDescent="0.2">
      <c r="A42">
        <v>22</v>
      </c>
      <c r="B42" t="s">
        <v>88</v>
      </c>
      <c r="C42" t="s">
        <v>120</v>
      </c>
      <c r="D42" t="s">
        <v>87</v>
      </c>
      <c r="E42">
        <v>2019</v>
      </c>
    </row>
    <row r="43" spans="1:6" x14ac:dyDescent="0.2">
      <c r="A43">
        <v>19</v>
      </c>
      <c r="B43" t="s">
        <v>78</v>
      </c>
      <c r="C43" t="s">
        <v>129</v>
      </c>
      <c r="D43" t="s">
        <v>79</v>
      </c>
      <c r="E43">
        <v>2021</v>
      </c>
    </row>
    <row r="44" spans="1:6" x14ac:dyDescent="0.2">
      <c r="A44">
        <v>14</v>
      </c>
      <c r="B44" t="s">
        <v>59</v>
      </c>
      <c r="C44" t="s">
        <v>131</v>
      </c>
      <c r="D44" t="s">
        <v>132</v>
      </c>
      <c r="E44">
        <v>2021</v>
      </c>
      <c r="F44" t="s">
        <v>230</v>
      </c>
    </row>
    <row r="45" spans="1:6" x14ac:dyDescent="0.2">
      <c r="A45">
        <v>7</v>
      </c>
      <c r="B45" t="s">
        <v>74</v>
      </c>
      <c r="C45" t="s">
        <v>133</v>
      </c>
      <c r="D45" t="s">
        <v>134</v>
      </c>
      <c r="E45">
        <v>2021</v>
      </c>
      <c r="F45" t="s">
        <v>230</v>
      </c>
    </row>
    <row r="46" spans="1:6" x14ac:dyDescent="0.2">
      <c r="A46">
        <v>17</v>
      </c>
      <c r="B46" t="s">
        <v>68</v>
      </c>
      <c r="C46" t="s">
        <v>138</v>
      </c>
      <c r="D46" t="s">
        <v>67</v>
      </c>
      <c r="E46">
        <v>2021</v>
      </c>
    </row>
    <row r="48" spans="1:6" x14ac:dyDescent="0.2">
      <c r="A48">
        <v>36</v>
      </c>
      <c r="B48" t="s">
        <v>147</v>
      </c>
      <c r="C48" t="s">
        <v>145</v>
      </c>
      <c r="D48" t="s">
        <v>146</v>
      </c>
      <c r="E48">
        <v>2021</v>
      </c>
    </row>
    <row r="49" spans="1:6" x14ac:dyDescent="0.2">
      <c r="A49">
        <v>37</v>
      </c>
      <c r="B49" t="s">
        <v>150</v>
      </c>
      <c r="C49" t="s">
        <v>148</v>
      </c>
      <c r="D49" t="s">
        <v>149</v>
      </c>
      <c r="E49">
        <v>2021</v>
      </c>
    </row>
    <row r="50" spans="1:6" x14ac:dyDescent="0.2">
      <c r="C50" t="s">
        <v>228</v>
      </c>
      <c r="D50" t="s">
        <v>229</v>
      </c>
      <c r="E50">
        <v>2022</v>
      </c>
    </row>
    <row r="51" spans="1:6" x14ac:dyDescent="0.2">
      <c r="A51">
        <v>33</v>
      </c>
      <c r="B51" t="s">
        <v>137</v>
      </c>
      <c r="C51" t="s">
        <v>157</v>
      </c>
      <c r="D51" t="s">
        <v>158</v>
      </c>
      <c r="E51">
        <v>2022</v>
      </c>
    </row>
    <row r="52" spans="1:6" x14ac:dyDescent="0.2">
      <c r="A52">
        <v>41</v>
      </c>
      <c r="B52" t="s">
        <v>166</v>
      </c>
      <c r="C52" t="s">
        <v>164</v>
      </c>
      <c r="D52" t="s">
        <v>165</v>
      </c>
      <c r="E52">
        <v>2022</v>
      </c>
    </row>
    <row r="53" spans="1:6" x14ac:dyDescent="0.2">
      <c r="A53">
        <v>42</v>
      </c>
      <c r="B53" t="s">
        <v>170</v>
      </c>
      <c r="C53" t="s">
        <v>168</v>
      </c>
      <c r="D53" t="s">
        <v>169</v>
      </c>
      <c r="E53">
        <v>2022</v>
      </c>
    </row>
    <row r="54" spans="1:6" x14ac:dyDescent="0.2">
      <c r="A54">
        <v>43</v>
      </c>
      <c r="B54" t="s">
        <v>173</v>
      </c>
      <c r="C54" t="s">
        <v>171</v>
      </c>
      <c r="D54" t="s">
        <v>172</v>
      </c>
      <c r="E54">
        <v>2022</v>
      </c>
    </row>
    <row r="55" spans="1:6" x14ac:dyDescent="0.2">
      <c r="A55">
        <v>43</v>
      </c>
      <c r="B55" t="s">
        <v>173</v>
      </c>
      <c r="C55" t="s">
        <v>174</v>
      </c>
      <c r="D55" t="s">
        <v>172</v>
      </c>
      <c r="E55">
        <v>2022</v>
      </c>
      <c r="F55" t="s">
        <v>230</v>
      </c>
    </row>
    <row r="56" spans="1:6" x14ac:dyDescent="0.2">
      <c r="A56">
        <v>45</v>
      </c>
      <c r="B56" t="s">
        <v>181</v>
      </c>
      <c r="C56" t="s">
        <v>179</v>
      </c>
      <c r="D56" t="s">
        <v>180</v>
      </c>
      <c r="E56">
        <v>2023</v>
      </c>
      <c r="F56" t="s">
        <v>230</v>
      </c>
    </row>
    <row r="57" spans="1:6" x14ac:dyDescent="0.2">
      <c r="A57">
        <v>46</v>
      </c>
      <c r="B57" t="s">
        <v>183</v>
      </c>
      <c r="C57" t="s">
        <v>182</v>
      </c>
      <c r="D57" t="s">
        <v>167</v>
      </c>
      <c r="E57">
        <v>2023</v>
      </c>
    </row>
    <row r="58" spans="1:6" x14ac:dyDescent="0.2">
      <c r="A58">
        <v>48</v>
      </c>
      <c r="B58" t="s">
        <v>188</v>
      </c>
      <c r="C58" t="s">
        <v>187</v>
      </c>
      <c r="D58" t="s">
        <v>189</v>
      </c>
      <c r="E58">
        <v>2023</v>
      </c>
    </row>
    <row r="59" spans="1:6" x14ac:dyDescent="0.2">
      <c r="A59">
        <v>49</v>
      </c>
      <c r="B59" t="s">
        <v>192</v>
      </c>
      <c r="C59" t="s">
        <v>190</v>
      </c>
      <c r="D59" t="s">
        <v>191</v>
      </c>
      <c r="E59">
        <v>2024</v>
      </c>
    </row>
    <row r="60" spans="1:6" x14ac:dyDescent="0.2">
      <c r="A60">
        <v>50</v>
      </c>
      <c r="B60" t="s">
        <v>181</v>
      </c>
      <c r="C60" t="s">
        <v>193</v>
      </c>
      <c r="D60" t="s">
        <v>180</v>
      </c>
      <c r="E60">
        <v>2024</v>
      </c>
    </row>
    <row r="61" spans="1:6" x14ac:dyDescent="0.2">
      <c r="A61">
        <v>51</v>
      </c>
      <c r="B61" t="s">
        <v>196</v>
      </c>
      <c r="C61" t="s">
        <v>194</v>
      </c>
      <c r="D61" t="s">
        <v>195</v>
      </c>
      <c r="E61">
        <v>2024</v>
      </c>
    </row>
    <row r="62" spans="1:6" x14ac:dyDescent="0.2">
      <c r="A62">
        <v>53</v>
      </c>
      <c r="B62" t="s">
        <v>202</v>
      </c>
      <c r="C62" t="s">
        <v>200</v>
      </c>
      <c r="D62" t="s">
        <v>201</v>
      </c>
      <c r="E62">
        <v>2024</v>
      </c>
    </row>
    <row r="63" spans="1:6" x14ac:dyDescent="0.2">
      <c r="A63">
        <v>54</v>
      </c>
      <c r="B63" t="s">
        <v>205</v>
      </c>
      <c r="C63" t="s">
        <v>203</v>
      </c>
      <c r="D63" t="s">
        <v>204</v>
      </c>
      <c r="E63">
        <v>2024</v>
      </c>
    </row>
    <row r="64" spans="1:6" x14ac:dyDescent="0.2">
      <c r="A64">
        <v>57</v>
      </c>
      <c r="B64" t="s">
        <v>214</v>
      </c>
      <c r="C64" t="s">
        <v>212</v>
      </c>
      <c r="D64" t="s">
        <v>213</v>
      </c>
      <c r="E64">
        <v>2025</v>
      </c>
    </row>
  </sheetData>
  <autoFilter ref="A1:F64" xr:uid="{2EE4EEDC-165F-114F-8D01-C0995D15EF7E}">
    <sortState xmlns:xlrd2="http://schemas.microsoft.com/office/spreadsheetml/2017/richdata2" ref="A2:F64">
      <sortCondition ref="E1:E64"/>
    </sortState>
  </autoFilter>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DD5C4-E15C-CD42-924D-8FFE047245CB}">
  <dimension ref="A1:E44"/>
  <sheetViews>
    <sheetView tabSelected="1" topLeftCell="A10" zoomScale="152" workbookViewId="0">
      <selection activeCell="C29" sqref="C29"/>
    </sheetView>
  </sheetViews>
  <sheetFormatPr baseColWidth="10" defaultRowHeight="16" x14ac:dyDescent="0.2"/>
  <cols>
    <col min="1" max="1" width="4.83203125" customWidth="1"/>
    <col min="2" max="2" width="22" customWidth="1"/>
    <col min="3" max="3" width="62.33203125" customWidth="1"/>
    <col min="4" max="4" width="13.83203125" customWidth="1"/>
    <col min="5" max="5" width="6" customWidth="1"/>
  </cols>
  <sheetData>
    <row r="1" spans="1:5" x14ac:dyDescent="0.2">
      <c r="A1" t="s">
        <v>2</v>
      </c>
      <c r="B1" t="s">
        <v>3</v>
      </c>
      <c r="C1" t="s">
        <v>0</v>
      </c>
      <c r="D1" t="s">
        <v>5</v>
      </c>
      <c r="E1" t="s">
        <v>1</v>
      </c>
    </row>
    <row r="2" spans="1:5" x14ac:dyDescent="0.2">
      <c r="A2">
        <v>1</v>
      </c>
      <c r="B2" t="s">
        <v>7</v>
      </c>
      <c r="C2" t="s">
        <v>4</v>
      </c>
      <c r="D2" t="s">
        <v>6</v>
      </c>
      <c r="E2">
        <v>2004</v>
      </c>
    </row>
    <row r="3" spans="1:5" x14ac:dyDescent="0.2">
      <c r="A3">
        <v>2</v>
      </c>
      <c r="B3" t="s">
        <v>481</v>
      </c>
      <c r="C3" t="s">
        <v>11</v>
      </c>
      <c r="D3" t="s">
        <v>6</v>
      </c>
      <c r="E3">
        <v>2008</v>
      </c>
    </row>
    <row r="4" spans="1:5" x14ac:dyDescent="0.2">
      <c r="A4">
        <v>3</v>
      </c>
      <c r="B4" t="s">
        <v>16</v>
      </c>
      <c r="C4" t="s">
        <v>15</v>
      </c>
      <c r="D4" t="s">
        <v>14</v>
      </c>
      <c r="E4">
        <v>2009</v>
      </c>
    </row>
    <row r="5" spans="1:5" x14ac:dyDescent="0.2">
      <c r="A5">
        <v>4</v>
      </c>
      <c r="B5" t="s">
        <v>26</v>
      </c>
      <c r="C5" t="s">
        <v>24</v>
      </c>
      <c r="D5" t="s">
        <v>25</v>
      </c>
      <c r="E5">
        <v>2012</v>
      </c>
    </row>
    <row r="6" spans="1:5" ht="17" customHeight="1" x14ac:dyDescent="0.2">
      <c r="A6">
        <v>5</v>
      </c>
      <c r="B6" t="s">
        <v>32</v>
      </c>
      <c r="C6" t="s">
        <v>30</v>
      </c>
      <c r="D6" t="s">
        <v>31</v>
      </c>
      <c r="E6">
        <v>2014</v>
      </c>
    </row>
    <row r="7" spans="1:5" x14ac:dyDescent="0.2">
      <c r="A7">
        <v>6</v>
      </c>
      <c r="B7" t="s">
        <v>37</v>
      </c>
      <c r="C7" t="s">
        <v>35</v>
      </c>
      <c r="D7" t="s">
        <v>36</v>
      </c>
      <c r="E7">
        <v>2014</v>
      </c>
    </row>
    <row r="8" spans="1:5" x14ac:dyDescent="0.2">
      <c r="A8">
        <v>7</v>
      </c>
      <c r="B8" t="s">
        <v>233</v>
      </c>
      <c r="C8" t="s">
        <v>38</v>
      </c>
      <c r="D8" t="s">
        <v>39</v>
      </c>
      <c r="E8">
        <v>2014</v>
      </c>
    </row>
    <row r="9" spans="1:5" x14ac:dyDescent="0.2">
      <c r="A9">
        <v>8</v>
      </c>
      <c r="B9" t="s">
        <v>44</v>
      </c>
      <c r="C9" t="s">
        <v>43</v>
      </c>
      <c r="D9" t="s">
        <v>45</v>
      </c>
      <c r="E9">
        <v>2015</v>
      </c>
    </row>
    <row r="10" spans="1:5" x14ac:dyDescent="0.2">
      <c r="A10">
        <v>9</v>
      </c>
      <c r="B10" t="s">
        <v>74</v>
      </c>
      <c r="C10" t="s">
        <v>53</v>
      </c>
      <c r="D10" t="s">
        <v>33</v>
      </c>
      <c r="E10">
        <v>2015</v>
      </c>
    </row>
    <row r="11" spans="1:5" x14ac:dyDescent="0.2">
      <c r="A11">
        <v>10</v>
      </c>
      <c r="B11" t="s">
        <v>59</v>
      </c>
      <c r="C11" t="s">
        <v>57</v>
      </c>
      <c r="D11" t="s">
        <v>58</v>
      </c>
      <c r="E11">
        <v>2015</v>
      </c>
    </row>
    <row r="12" spans="1:5" x14ac:dyDescent="0.2">
      <c r="A12">
        <v>11</v>
      </c>
      <c r="B12" t="s">
        <v>62</v>
      </c>
      <c r="C12" t="s">
        <v>63</v>
      </c>
      <c r="D12" t="s">
        <v>61</v>
      </c>
      <c r="E12">
        <v>2016</v>
      </c>
    </row>
    <row r="13" spans="1:5" x14ac:dyDescent="0.2">
      <c r="A13">
        <v>12</v>
      </c>
      <c r="B13" t="s">
        <v>85</v>
      </c>
      <c r="C13" t="s">
        <v>75</v>
      </c>
      <c r="D13" t="s">
        <v>76</v>
      </c>
      <c r="E13">
        <v>2017</v>
      </c>
    </row>
    <row r="14" spans="1:5" ht="15" customHeight="1" x14ac:dyDescent="0.2">
      <c r="A14">
        <v>13</v>
      </c>
      <c r="B14" t="s">
        <v>81</v>
      </c>
      <c r="C14" t="s">
        <v>80</v>
      </c>
      <c r="D14" t="s">
        <v>163</v>
      </c>
      <c r="E14">
        <v>2017</v>
      </c>
    </row>
    <row r="15" spans="1:5" x14ac:dyDescent="0.2">
      <c r="A15">
        <v>14</v>
      </c>
      <c r="B15" t="s">
        <v>84</v>
      </c>
      <c r="C15" t="s">
        <v>82</v>
      </c>
      <c r="D15" t="s">
        <v>83</v>
      </c>
      <c r="E15">
        <v>2017</v>
      </c>
    </row>
    <row r="16" spans="1:5" x14ac:dyDescent="0.2">
      <c r="A16">
        <v>15</v>
      </c>
      <c r="B16" t="s">
        <v>232</v>
      </c>
      <c r="C16" t="s">
        <v>86</v>
      </c>
      <c r="D16" t="s">
        <v>87</v>
      </c>
      <c r="E16">
        <v>2017</v>
      </c>
    </row>
    <row r="17" spans="1:5" x14ac:dyDescent="0.2">
      <c r="A17">
        <v>16</v>
      </c>
      <c r="B17" t="s">
        <v>21</v>
      </c>
      <c r="C17" t="s">
        <v>91</v>
      </c>
      <c r="D17" t="s">
        <v>92</v>
      </c>
      <c r="E17">
        <v>2017</v>
      </c>
    </row>
    <row r="18" spans="1:5" x14ac:dyDescent="0.2">
      <c r="A18" s="1">
        <v>17</v>
      </c>
      <c r="B18" t="s">
        <v>99</v>
      </c>
      <c r="C18" t="s">
        <v>97</v>
      </c>
      <c r="D18" t="s">
        <v>98</v>
      </c>
      <c r="E18">
        <v>2018</v>
      </c>
    </row>
    <row r="19" spans="1:5" x14ac:dyDescent="0.2">
      <c r="A19">
        <v>18</v>
      </c>
      <c r="B19" t="s">
        <v>105</v>
      </c>
      <c r="C19" t="s">
        <v>103</v>
      </c>
      <c r="D19" t="s">
        <v>104</v>
      </c>
      <c r="E19">
        <v>2018</v>
      </c>
    </row>
    <row r="20" spans="1:5" x14ac:dyDescent="0.2">
      <c r="A20">
        <v>19</v>
      </c>
      <c r="B20" t="s">
        <v>108</v>
      </c>
      <c r="C20" t="s">
        <v>106</v>
      </c>
      <c r="D20" t="s">
        <v>107</v>
      </c>
      <c r="E20">
        <v>2019</v>
      </c>
    </row>
    <row r="21" spans="1:5" x14ac:dyDescent="0.2">
      <c r="A21">
        <v>20</v>
      </c>
      <c r="B21" t="s">
        <v>111</v>
      </c>
      <c r="C21" t="s">
        <v>109</v>
      </c>
      <c r="D21" t="s">
        <v>110</v>
      </c>
      <c r="E21">
        <v>2019</v>
      </c>
    </row>
    <row r="22" spans="1:5" x14ac:dyDescent="0.2">
      <c r="A22">
        <v>21</v>
      </c>
      <c r="B22" t="s">
        <v>112</v>
      </c>
      <c r="C22" t="s">
        <v>113</v>
      </c>
      <c r="D22" t="s">
        <v>79</v>
      </c>
      <c r="E22">
        <v>2019</v>
      </c>
    </row>
    <row r="23" spans="1:5" x14ac:dyDescent="0.2">
      <c r="A23">
        <v>22</v>
      </c>
      <c r="C23" t="s">
        <v>226</v>
      </c>
      <c r="D23" t="s">
        <v>227</v>
      </c>
      <c r="E23">
        <v>2019</v>
      </c>
    </row>
    <row r="24" spans="1:5" x14ac:dyDescent="0.2">
      <c r="A24">
        <v>23</v>
      </c>
      <c r="B24" t="s">
        <v>116</v>
      </c>
      <c r="C24" t="s">
        <v>114</v>
      </c>
      <c r="D24" t="s">
        <v>115</v>
      </c>
      <c r="E24">
        <v>2019</v>
      </c>
    </row>
    <row r="25" spans="1:5" x14ac:dyDescent="0.2">
      <c r="A25">
        <v>24</v>
      </c>
      <c r="B25" s="1" t="s">
        <v>96</v>
      </c>
      <c r="C25" s="1" t="s">
        <v>117</v>
      </c>
      <c r="D25" s="1" t="s">
        <v>95</v>
      </c>
      <c r="E25" s="1">
        <v>2019</v>
      </c>
    </row>
    <row r="26" spans="1:5" s="1" customFormat="1" x14ac:dyDescent="0.2">
      <c r="A26" s="1">
        <v>25</v>
      </c>
      <c r="B26" t="s">
        <v>88</v>
      </c>
      <c r="C26" t="s">
        <v>120</v>
      </c>
      <c r="D26" t="s">
        <v>87</v>
      </c>
      <c r="E26">
        <v>2019</v>
      </c>
    </row>
    <row r="27" spans="1:5" x14ac:dyDescent="0.2">
      <c r="A27">
        <v>26</v>
      </c>
      <c r="B27" t="s">
        <v>78</v>
      </c>
      <c r="C27" t="s">
        <v>129</v>
      </c>
      <c r="D27" t="s">
        <v>79</v>
      </c>
      <c r="E27">
        <v>2021</v>
      </c>
    </row>
    <row r="28" spans="1:5" x14ac:dyDescent="0.2">
      <c r="A28">
        <v>27</v>
      </c>
      <c r="B28" t="s">
        <v>68</v>
      </c>
      <c r="C28" t="s">
        <v>138</v>
      </c>
      <c r="D28" t="s">
        <v>67</v>
      </c>
      <c r="E28">
        <v>2021</v>
      </c>
    </row>
    <row r="29" spans="1:5" x14ac:dyDescent="0.2">
      <c r="A29">
        <v>28</v>
      </c>
      <c r="B29" t="s">
        <v>147</v>
      </c>
      <c r="C29" t="s">
        <v>145</v>
      </c>
      <c r="D29" t="s">
        <v>146</v>
      </c>
      <c r="E29">
        <v>2021</v>
      </c>
    </row>
    <row r="30" spans="1:5" x14ac:dyDescent="0.2">
      <c r="A30">
        <v>29</v>
      </c>
      <c r="B30" t="s">
        <v>150</v>
      </c>
      <c r="C30" t="s">
        <v>148</v>
      </c>
      <c r="D30" t="s">
        <v>149</v>
      </c>
      <c r="E30">
        <v>2021</v>
      </c>
    </row>
    <row r="31" spans="1:5" x14ac:dyDescent="0.2">
      <c r="A31">
        <v>30</v>
      </c>
      <c r="B31" t="s">
        <v>292</v>
      </c>
      <c r="C31" t="s">
        <v>228</v>
      </c>
      <c r="D31" t="s">
        <v>229</v>
      </c>
      <c r="E31">
        <v>2022</v>
      </c>
    </row>
    <row r="32" spans="1:5" x14ac:dyDescent="0.2">
      <c r="A32">
        <v>31</v>
      </c>
      <c r="B32" s="3" t="s">
        <v>235</v>
      </c>
      <c r="C32" t="s">
        <v>151</v>
      </c>
      <c r="D32" t="s">
        <v>234</v>
      </c>
      <c r="E32">
        <v>2022</v>
      </c>
    </row>
    <row r="33" spans="1:5" x14ac:dyDescent="0.2">
      <c r="A33">
        <v>32</v>
      </c>
      <c r="B33" t="s">
        <v>137</v>
      </c>
      <c r="C33" t="s">
        <v>157</v>
      </c>
      <c r="D33" t="s">
        <v>158</v>
      </c>
      <c r="E33">
        <v>2022</v>
      </c>
    </row>
    <row r="34" spans="1:5" x14ac:dyDescent="0.2">
      <c r="A34">
        <v>33</v>
      </c>
      <c r="B34" t="s">
        <v>166</v>
      </c>
      <c r="C34" t="s">
        <v>164</v>
      </c>
      <c r="D34" t="s">
        <v>165</v>
      </c>
      <c r="E34">
        <v>2022</v>
      </c>
    </row>
    <row r="35" spans="1:5" x14ac:dyDescent="0.2">
      <c r="A35">
        <v>34</v>
      </c>
      <c r="B35" t="s">
        <v>170</v>
      </c>
      <c r="C35" t="s">
        <v>168</v>
      </c>
      <c r="D35" t="s">
        <v>169</v>
      </c>
      <c r="E35">
        <v>2022</v>
      </c>
    </row>
    <row r="36" spans="1:5" x14ac:dyDescent="0.2">
      <c r="A36">
        <v>35</v>
      </c>
      <c r="B36" t="s">
        <v>173</v>
      </c>
      <c r="C36" t="s">
        <v>171</v>
      </c>
      <c r="D36" t="s">
        <v>172</v>
      </c>
      <c r="E36">
        <v>2022</v>
      </c>
    </row>
    <row r="37" spans="1:5" x14ac:dyDescent="0.2">
      <c r="A37">
        <v>36</v>
      </c>
      <c r="B37" t="s">
        <v>183</v>
      </c>
      <c r="C37" t="s">
        <v>182</v>
      </c>
      <c r="D37" t="s">
        <v>167</v>
      </c>
      <c r="E37">
        <v>2023</v>
      </c>
    </row>
    <row r="38" spans="1:5" x14ac:dyDescent="0.2">
      <c r="A38">
        <v>37</v>
      </c>
      <c r="B38" t="s">
        <v>188</v>
      </c>
      <c r="C38" s="2" t="s">
        <v>187</v>
      </c>
      <c r="D38" t="s">
        <v>189</v>
      </c>
      <c r="E38">
        <v>2023</v>
      </c>
    </row>
    <row r="39" spans="1:5" x14ac:dyDescent="0.2">
      <c r="A39">
        <v>38</v>
      </c>
      <c r="B39" t="s">
        <v>192</v>
      </c>
      <c r="C39" s="2" t="s">
        <v>190</v>
      </c>
      <c r="D39" t="s">
        <v>191</v>
      </c>
      <c r="E39">
        <v>2024</v>
      </c>
    </row>
    <row r="40" spans="1:5" x14ac:dyDescent="0.2">
      <c r="A40">
        <v>39</v>
      </c>
      <c r="B40" t="s">
        <v>181</v>
      </c>
      <c r="C40" t="s">
        <v>193</v>
      </c>
      <c r="D40" t="s">
        <v>180</v>
      </c>
      <c r="E40">
        <v>2024</v>
      </c>
    </row>
    <row r="41" spans="1:5" x14ac:dyDescent="0.2">
      <c r="A41">
        <v>40</v>
      </c>
      <c r="B41" t="s">
        <v>196</v>
      </c>
      <c r="C41" t="s">
        <v>194</v>
      </c>
      <c r="D41" t="s">
        <v>195</v>
      </c>
      <c r="E41">
        <v>2024</v>
      </c>
    </row>
    <row r="42" spans="1:5" x14ac:dyDescent="0.2">
      <c r="A42">
        <v>41</v>
      </c>
      <c r="B42" t="s">
        <v>202</v>
      </c>
      <c r="C42" t="s">
        <v>200</v>
      </c>
      <c r="D42" t="s">
        <v>201</v>
      </c>
      <c r="E42">
        <v>2024</v>
      </c>
    </row>
    <row r="43" spans="1:5" x14ac:dyDescent="0.2">
      <c r="A43">
        <v>42</v>
      </c>
      <c r="B43" t="s">
        <v>508</v>
      </c>
      <c r="C43" t="s">
        <v>203</v>
      </c>
      <c r="D43" t="s">
        <v>204</v>
      </c>
      <c r="E43">
        <v>2024</v>
      </c>
    </row>
    <row r="44" spans="1:5" x14ac:dyDescent="0.2">
      <c r="A44">
        <v>43</v>
      </c>
      <c r="B44" t="s">
        <v>214</v>
      </c>
      <c r="C44" t="s">
        <v>212</v>
      </c>
      <c r="D44" t="s">
        <v>213</v>
      </c>
      <c r="E44">
        <v>2025</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CD19F-E23A-3C40-9D9D-FEAF52545BF4}">
  <dimension ref="A1:F46"/>
  <sheetViews>
    <sheetView topLeftCell="A22" zoomScale="150" workbookViewId="0">
      <selection activeCell="F31" sqref="F31"/>
    </sheetView>
  </sheetViews>
  <sheetFormatPr baseColWidth="10" defaultRowHeight="16" x14ac:dyDescent="0.2"/>
  <cols>
    <col min="1" max="1" width="15.83203125" customWidth="1"/>
    <col min="2" max="2" width="21.5" bestFit="1" customWidth="1"/>
    <col min="3" max="6" width="30.83203125" style="4" customWidth="1"/>
  </cols>
  <sheetData>
    <row r="1" spans="1:6" ht="27" customHeight="1" x14ac:dyDescent="0.35">
      <c r="C1" s="38" t="s">
        <v>543</v>
      </c>
      <c r="D1" s="38"/>
      <c r="E1" s="38"/>
      <c r="F1" s="38"/>
    </row>
    <row r="2" spans="1:6" ht="17" x14ac:dyDescent="0.2">
      <c r="A2" s="1" t="s">
        <v>541</v>
      </c>
      <c r="B2" s="1" t="s">
        <v>550</v>
      </c>
      <c r="C2" s="15" t="s">
        <v>544</v>
      </c>
      <c r="D2" s="16" t="s">
        <v>478</v>
      </c>
      <c r="E2" s="16" t="s">
        <v>479</v>
      </c>
      <c r="F2" s="16" t="s">
        <v>545</v>
      </c>
    </row>
    <row r="3" spans="1:6" ht="102" x14ac:dyDescent="0.2">
      <c r="A3" t="s">
        <v>549</v>
      </c>
      <c r="C3" s="17" t="s">
        <v>548</v>
      </c>
      <c r="D3" s="13" t="s">
        <v>571</v>
      </c>
      <c r="E3" s="13" t="s">
        <v>546</v>
      </c>
      <c r="F3" s="13" t="s">
        <v>547</v>
      </c>
    </row>
    <row r="4" spans="1:6" ht="17" x14ac:dyDescent="0.2">
      <c r="A4">
        <v>1</v>
      </c>
      <c r="B4" t="s">
        <v>7</v>
      </c>
      <c r="C4" s="20" t="s">
        <v>551</v>
      </c>
      <c r="D4" s="20">
        <v>1</v>
      </c>
      <c r="E4" s="20">
        <v>0</v>
      </c>
      <c r="F4" s="20">
        <v>0</v>
      </c>
    </row>
    <row r="5" spans="1:6" ht="17" x14ac:dyDescent="0.2">
      <c r="A5">
        <v>2</v>
      </c>
      <c r="B5" t="s">
        <v>552</v>
      </c>
      <c r="C5" s="20" t="s">
        <v>553</v>
      </c>
      <c r="D5" s="20">
        <v>1</v>
      </c>
      <c r="E5" s="20">
        <v>0</v>
      </c>
      <c r="F5" s="20">
        <v>0</v>
      </c>
    </row>
    <row r="6" spans="1:6" ht="17" x14ac:dyDescent="0.2">
      <c r="A6">
        <v>3</v>
      </c>
      <c r="B6" t="s">
        <v>554</v>
      </c>
      <c r="C6" s="20" t="s">
        <v>553</v>
      </c>
      <c r="D6" s="20">
        <v>1</v>
      </c>
      <c r="E6" s="20">
        <v>0</v>
      </c>
      <c r="F6" s="20">
        <v>0</v>
      </c>
    </row>
    <row r="7" spans="1:6" ht="17" x14ac:dyDescent="0.2">
      <c r="A7">
        <v>4</v>
      </c>
      <c r="B7" t="s">
        <v>26</v>
      </c>
      <c r="C7" s="20" t="s">
        <v>556</v>
      </c>
      <c r="D7" s="20">
        <v>1</v>
      </c>
      <c r="E7" s="20">
        <v>0</v>
      </c>
      <c r="F7" s="20">
        <v>0</v>
      </c>
    </row>
    <row r="8" spans="1:6" ht="17" x14ac:dyDescent="0.2">
      <c r="A8">
        <v>5</v>
      </c>
      <c r="B8" t="s">
        <v>32</v>
      </c>
      <c r="C8" s="20" t="s">
        <v>553</v>
      </c>
      <c r="D8" s="20">
        <v>2</v>
      </c>
      <c r="E8" s="20">
        <v>1</v>
      </c>
      <c r="F8" s="20">
        <v>0</v>
      </c>
    </row>
    <row r="9" spans="1:6" ht="34" x14ac:dyDescent="0.2">
      <c r="A9">
        <v>6</v>
      </c>
      <c r="B9" s="18" t="s">
        <v>37</v>
      </c>
      <c r="C9" s="20" t="s">
        <v>555</v>
      </c>
      <c r="D9" s="20" t="s">
        <v>557</v>
      </c>
      <c r="E9" s="20">
        <v>1</v>
      </c>
      <c r="F9" s="20">
        <v>2</v>
      </c>
    </row>
    <row r="10" spans="1:6" ht="17" x14ac:dyDescent="0.2">
      <c r="A10">
        <v>7</v>
      </c>
      <c r="B10" t="s">
        <v>558</v>
      </c>
      <c r="C10" s="20" t="s">
        <v>553</v>
      </c>
      <c r="D10" s="20">
        <v>1</v>
      </c>
      <c r="E10" s="20">
        <v>0</v>
      </c>
      <c r="F10" s="20">
        <v>0</v>
      </c>
    </row>
    <row r="11" spans="1:6" ht="17" x14ac:dyDescent="0.2">
      <c r="A11">
        <v>8</v>
      </c>
      <c r="B11" t="s">
        <v>566</v>
      </c>
      <c r="C11" s="20" t="s">
        <v>563</v>
      </c>
      <c r="D11" s="20">
        <v>2</v>
      </c>
      <c r="E11" s="20">
        <v>0</v>
      </c>
      <c r="F11" s="20">
        <v>0</v>
      </c>
    </row>
    <row r="12" spans="1:6" ht="17" x14ac:dyDescent="0.2">
      <c r="A12">
        <v>9</v>
      </c>
      <c r="B12" s="18" t="s">
        <v>559</v>
      </c>
      <c r="C12" s="20" t="s">
        <v>555</v>
      </c>
      <c r="D12" s="20" t="s">
        <v>555</v>
      </c>
      <c r="E12" s="20">
        <v>1</v>
      </c>
      <c r="F12" s="20" t="s">
        <v>560</v>
      </c>
    </row>
    <row r="13" spans="1:6" ht="17" x14ac:dyDescent="0.2">
      <c r="A13">
        <v>10</v>
      </c>
      <c r="B13" t="s">
        <v>561</v>
      </c>
      <c r="C13" s="20" t="s">
        <v>555</v>
      </c>
      <c r="D13" s="20" t="s">
        <v>555</v>
      </c>
      <c r="E13" s="20">
        <v>1</v>
      </c>
      <c r="F13" s="20">
        <v>0</v>
      </c>
    </row>
    <row r="14" spans="1:6" ht="51" x14ac:dyDescent="0.2">
      <c r="A14">
        <v>11</v>
      </c>
      <c r="B14" s="18" t="s">
        <v>562</v>
      </c>
      <c r="C14" s="20" t="s">
        <v>555</v>
      </c>
      <c r="D14" s="20" t="s">
        <v>564</v>
      </c>
      <c r="E14" s="20" t="s">
        <v>565</v>
      </c>
      <c r="F14" s="20">
        <v>0</v>
      </c>
    </row>
    <row r="15" spans="1:6" ht="34" x14ac:dyDescent="0.2">
      <c r="A15">
        <v>12</v>
      </c>
      <c r="B15" t="s">
        <v>85</v>
      </c>
      <c r="C15" s="20" t="s">
        <v>553</v>
      </c>
      <c r="D15" s="20" t="s">
        <v>567</v>
      </c>
      <c r="E15" s="20">
        <v>0</v>
      </c>
      <c r="F15" s="20">
        <v>0</v>
      </c>
    </row>
    <row r="16" spans="1:6" ht="17" x14ac:dyDescent="0.2">
      <c r="A16">
        <v>13</v>
      </c>
      <c r="B16" t="s">
        <v>81</v>
      </c>
      <c r="C16" s="20" t="s">
        <v>555</v>
      </c>
      <c r="D16" s="20" t="s">
        <v>568</v>
      </c>
      <c r="E16" s="20">
        <v>0</v>
      </c>
      <c r="F16" s="20">
        <v>0</v>
      </c>
    </row>
    <row r="17" spans="1:6" ht="17" x14ac:dyDescent="0.2">
      <c r="A17">
        <v>14</v>
      </c>
      <c r="B17" t="s">
        <v>84</v>
      </c>
      <c r="C17" s="20" t="s">
        <v>555</v>
      </c>
      <c r="D17" s="20" t="s">
        <v>568</v>
      </c>
      <c r="E17" s="20">
        <v>0</v>
      </c>
      <c r="F17" s="20">
        <v>3</v>
      </c>
    </row>
    <row r="18" spans="1:6" ht="17" x14ac:dyDescent="0.2">
      <c r="A18">
        <v>15</v>
      </c>
      <c r="B18" t="s">
        <v>232</v>
      </c>
      <c r="C18" s="20">
        <v>1</v>
      </c>
      <c r="D18" s="20" t="s">
        <v>569</v>
      </c>
      <c r="E18" s="20">
        <v>0</v>
      </c>
      <c r="F18" s="20">
        <v>3</v>
      </c>
    </row>
    <row r="19" spans="1:6" ht="17" x14ac:dyDescent="0.2">
      <c r="A19">
        <v>16</v>
      </c>
      <c r="B19" t="s">
        <v>21</v>
      </c>
      <c r="C19" s="20">
        <v>1</v>
      </c>
      <c r="D19" s="20" t="s">
        <v>570</v>
      </c>
      <c r="E19" s="20">
        <v>1</v>
      </c>
      <c r="F19" s="20" t="s">
        <v>560</v>
      </c>
    </row>
    <row r="20" spans="1:6" ht="17" x14ac:dyDescent="0.2">
      <c r="A20">
        <v>17</v>
      </c>
      <c r="B20" t="s">
        <v>99</v>
      </c>
      <c r="C20" s="20" t="s">
        <v>555</v>
      </c>
      <c r="D20" s="20">
        <v>4</v>
      </c>
      <c r="E20" s="20">
        <v>0</v>
      </c>
      <c r="F20" s="20">
        <v>0</v>
      </c>
    </row>
    <row r="21" spans="1:6" ht="17" x14ac:dyDescent="0.2">
      <c r="A21">
        <v>18</v>
      </c>
      <c r="B21" t="s">
        <v>105</v>
      </c>
      <c r="C21" s="20" t="s">
        <v>555</v>
      </c>
      <c r="D21" s="20" t="s">
        <v>572</v>
      </c>
      <c r="E21" s="20">
        <v>1</v>
      </c>
      <c r="F21" s="20">
        <v>0</v>
      </c>
    </row>
    <row r="22" spans="1:6" ht="17" x14ac:dyDescent="0.2">
      <c r="A22">
        <v>19</v>
      </c>
      <c r="B22" t="s">
        <v>108</v>
      </c>
      <c r="C22" s="20" t="s">
        <v>573</v>
      </c>
      <c r="D22" s="20">
        <v>0</v>
      </c>
      <c r="E22" s="20">
        <v>0</v>
      </c>
      <c r="F22" s="20">
        <v>0</v>
      </c>
    </row>
    <row r="23" spans="1:6" ht="17" x14ac:dyDescent="0.2">
      <c r="A23">
        <v>20</v>
      </c>
      <c r="B23" t="s">
        <v>111</v>
      </c>
      <c r="C23" s="20" t="s">
        <v>556</v>
      </c>
      <c r="D23" s="20" t="s">
        <v>574</v>
      </c>
      <c r="E23" s="20">
        <v>0</v>
      </c>
      <c r="F23" s="20">
        <v>0</v>
      </c>
    </row>
    <row r="24" spans="1:6" ht="17" x14ac:dyDescent="0.2">
      <c r="A24">
        <v>21</v>
      </c>
      <c r="B24" t="s">
        <v>112</v>
      </c>
      <c r="C24" s="20" t="s">
        <v>553</v>
      </c>
      <c r="D24" s="20">
        <v>1</v>
      </c>
      <c r="E24" s="20">
        <v>0</v>
      </c>
      <c r="F24" s="20">
        <v>0</v>
      </c>
    </row>
    <row r="25" spans="1:6" ht="17" x14ac:dyDescent="0.2">
      <c r="A25">
        <v>22</v>
      </c>
      <c r="B25" s="18" t="s">
        <v>575</v>
      </c>
      <c r="C25" s="21">
        <v>1.2</v>
      </c>
      <c r="D25" s="20" t="s">
        <v>576</v>
      </c>
      <c r="E25" s="20">
        <v>1</v>
      </c>
      <c r="F25" s="20">
        <v>3</v>
      </c>
    </row>
    <row r="26" spans="1:6" ht="17" x14ac:dyDescent="0.2">
      <c r="A26">
        <v>23</v>
      </c>
      <c r="B26" t="s">
        <v>116</v>
      </c>
      <c r="C26" s="20" t="s">
        <v>553</v>
      </c>
      <c r="D26" s="20">
        <v>2</v>
      </c>
      <c r="E26" s="20">
        <v>2</v>
      </c>
      <c r="F26" s="20">
        <v>0</v>
      </c>
    </row>
    <row r="27" spans="1:6" x14ac:dyDescent="0.2">
      <c r="A27">
        <v>24</v>
      </c>
      <c r="B27" s="2" t="s">
        <v>96</v>
      </c>
      <c r="C27" s="21">
        <v>1.2</v>
      </c>
      <c r="D27" s="20">
        <v>2</v>
      </c>
      <c r="E27" s="20">
        <v>0</v>
      </c>
      <c r="F27" s="20">
        <v>0</v>
      </c>
    </row>
    <row r="28" spans="1:6" x14ac:dyDescent="0.2">
      <c r="A28">
        <v>25</v>
      </c>
      <c r="B28" t="s">
        <v>88</v>
      </c>
      <c r="C28" s="20">
        <v>2</v>
      </c>
      <c r="D28" s="20">
        <v>2</v>
      </c>
      <c r="E28" s="20">
        <v>0</v>
      </c>
      <c r="F28" s="20">
        <v>0</v>
      </c>
    </row>
    <row r="29" spans="1:6" ht="17" x14ac:dyDescent="0.2">
      <c r="A29">
        <v>26</v>
      </c>
      <c r="B29" t="s">
        <v>78</v>
      </c>
      <c r="C29" s="20" t="s">
        <v>553</v>
      </c>
      <c r="D29" s="20">
        <v>2</v>
      </c>
      <c r="E29" s="20">
        <v>0</v>
      </c>
      <c r="F29" s="20">
        <v>0</v>
      </c>
    </row>
    <row r="30" spans="1:6" ht="17" x14ac:dyDescent="0.2">
      <c r="A30">
        <v>27</v>
      </c>
      <c r="B30" t="s">
        <v>68</v>
      </c>
      <c r="C30" s="20">
        <v>1</v>
      </c>
      <c r="D30" s="20" t="s">
        <v>577</v>
      </c>
      <c r="E30" s="20">
        <v>0</v>
      </c>
      <c r="F30" s="20">
        <v>0</v>
      </c>
    </row>
    <row r="31" spans="1:6" ht="17" x14ac:dyDescent="0.2">
      <c r="A31">
        <v>28</v>
      </c>
      <c r="B31" t="s">
        <v>147</v>
      </c>
      <c r="C31" s="20" t="s">
        <v>555</v>
      </c>
      <c r="D31" s="20" t="s">
        <v>578</v>
      </c>
      <c r="E31" s="20">
        <v>1</v>
      </c>
      <c r="F31" s="20" t="s">
        <v>579</v>
      </c>
    </row>
    <row r="32" spans="1:6" ht="34" x14ac:dyDescent="0.2">
      <c r="A32">
        <v>29</v>
      </c>
      <c r="B32" t="s">
        <v>150</v>
      </c>
      <c r="C32" s="20" t="s">
        <v>580</v>
      </c>
      <c r="D32" s="20" t="s">
        <v>581</v>
      </c>
      <c r="E32" s="20" t="s">
        <v>590</v>
      </c>
      <c r="F32" s="20">
        <v>0</v>
      </c>
    </row>
    <row r="33" spans="1:6" x14ac:dyDescent="0.2">
      <c r="A33">
        <v>30</v>
      </c>
      <c r="B33" t="s">
        <v>292</v>
      </c>
      <c r="C33" s="20">
        <v>1</v>
      </c>
      <c r="D33" s="20">
        <v>0</v>
      </c>
      <c r="E33" s="20">
        <v>1</v>
      </c>
      <c r="F33" s="20">
        <v>0</v>
      </c>
    </row>
    <row r="34" spans="1:6" ht="17" x14ac:dyDescent="0.2">
      <c r="A34">
        <v>31</v>
      </c>
      <c r="B34" s="2" t="s">
        <v>235</v>
      </c>
      <c r="C34" s="20" t="s">
        <v>555</v>
      </c>
      <c r="D34" s="20">
        <v>1</v>
      </c>
      <c r="E34" s="20">
        <v>0</v>
      </c>
      <c r="F34" s="20">
        <v>3</v>
      </c>
    </row>
    <row r="35" spans="1:6" ht="17" x14ac:dyDescent="0.2">
      <c r="A35">
        <v>32</v>
      </c>
      <c r="B35" t="s">
        <v>137</v>
      </c>
      <c r="C35" s="20">
        <v>1</v>
      </c>
      <c r="D35" s="20" t="s">
        <v>555</v>
      </c>
      <c r="E35" s="20">
        <v>0</v>
      </c>
      <c r="F35" s="20">
        <v>3</v>
      </c>
    </row>
    <row r="36" spans="1:6" ht="17" x14ac:dyDescent="0.2">
      <c r="A36">
        <v>33</v>
      </c>
      <c r="B36" t="s">
        <v>166</v>
      </c>
      <c r="C36" s="20" t="s">
        <v>553</v>
      </c>
      <c r="D36" s="20">
        <v>1</v>
      </c>
      <c r="E36" s="20">
        <v>1</v>
      </c>
      <c r="F36" s="20">
        <v>0</v>
      </c>
    </row>
    <row r="37" spans="1:6" ht="34" x14ac:dyDescent="0.2">
      <c r="A37">
        <v>34</v>
      </c>
      <c r="B37" t="s">
        <v>170</v>
      </c>
      <c r="C37" s="20" t="s">
        <v>555</v>
      </c>
      <c r="D37" s="20" t="s">
        <v>582</v>
      </c>
      <c r="E37" s="20">
        <v>0</v>
      </c>
      <c r="F37" s="20" t="s">
        <v>583</v>
      </c>
    </row>
    <row r="38" spans="1:6" ht="17" x14ac:dyDescent="0.2">
      <c r="A38">
        <v>35</v>
      </c>
      <c r="B38" t="s">
        <v>173</v>
      </c>
      <c r="C38" s="20" t="s">
        <v>555</v>
      </c>
      <c r="D38" s="20">
        <v>1</v>
      </c>
      <c r="E38" s="20">
        <v>0</v>
      </c>
      <c r="F38" s="20">
        <v>0</v>
      </c>
    </row>
    <row r="39" spans="1:6" ht="17" x14ac:dyDescent="0.2">
      <c r="A39">
        <v>36</v>
      </c>
      <c r="B39" t="s">
        <v>183</v>
      </c>
      <c r="C39" s="20" t="s">
        <v>555</v>
      </c>
      <c r="D39" s="20" t="s">
        <v>584</v>
      </c>
      <c r="E39" s="20">
        <v>0</v>
      </c>
      <c r="F39" s="20">
        <v>0</v>
      </c>
    </row>
    <row r="40" spans="1:6" ht="17" x14ac:dyDescent="0.2">
      <c r="A40">
        <v>37</v>
      </c>
      <c r="B40" t="s">
        <v>188</v>
      </c>
      <c r="C40" s="20" t="s">
        <v>555</v>
      </c>
      <c r="D40" s="20">
        <v>2</v>
      </c>
      <c r="E40" s="20">
        <v>0</v>
      </c>
      <c r="F40" s="20">
        <v>0</v>
      </c>
    </row>
    <row r="41" spans="1:6" ht="17" x14ac:dyDescent="0.2">
      <c r="A41">
        <v>38</v>
      </c>
      <c r="B41" t="s">
        <v>192</v>
      </c>
      <c r="C41" s="20" t="s">
        <v>555</v>
      </c>
      <c r="D41" s="20" t="s">
        <v>585</v>
      </c>
      <c r="E41" s="20">
        <v>0</v>
      </c>
      <c r="F41" s="20">
        <v>0</v>
      </c>
    </row>
    <row r="42" spans="1:6" ht="17" x14ac:dyDescent="0.2">
      <c r="A42">
        <v>39</v>
      </c>
      <c r="B42" t="s">
        <v>181</v>
      </c>
      <c r="C42" s="22" t="s">
        <v>569</v>
      </c>
      <c r="D42" s="20">
        <v>2</v>
      </c>
      <c r="E42" s="20">
        <v>1</v>
      </c>
      <c r="F42" s="20" t="s">
        <v>591</v>
      </c>
    </row>
    <row r="43" spans="1:6" ht="17" x14ac:dyDescent="0.2">
      <c r="A43">
        <v>40</v>
      </c>
      <c r="B43" t="s">
        <v>196</v>
      </c>
      <c r="C43" s="20" t="s">
        <v>586</v>
      </c>
      <c r="D43" s="20">
        <v>0</v>
      </c>
      <c r="E43" s="20">
        <v>0</v>
      </c>
      <c r="F43" s="20">
        <v>0</v>
      </c>
    </row>
    <row r="44" spans="1:6" ht="17" x14ac:dyDescent="0.2">
      <c r="A44">
        <v>41</v>
      </c>
      <c r="B44" t="s">
        <v>202</v>
      </c>
      <c r="C44" s="20" t="s">
        <v>555</v>
      </c>
      <c r="D44" s="20" t="s">
        <v>587</v>
      </c>
      <c r="E44" s="20">
        <v>1</v>
      </c>
      <c r="F44" s="20">
        <v>3</v>
      </c>
    </row>
    <row r="45" spans="1:6" ht="17" x14ac:dyDescent="0.2">
      <c r="A45">
        <v>42</v>
      </c>
      <c r="B45" t="s">
        <v>508</v>
      </c>
      <c r="C45" s="20" t="s">
        <v>555</v>
      </c>
      <c r="D45" s="20" t="s">
        <v>588</v>
      </c>
      <c r="E45" s="20">
        <v>0</v>
      </c>
      <c r="F45" s="20">
        <v>3</v>
      </c>
    </row>
    <row r="46" spans="1:6" ht="17" x14ac:dyDescent="0.2">
      <c r="A46">
        <v>43</v>
      </c>
      <c r="B46" t="s">
        <v>214</v>
      </c>
      <c r="C46" s="20" t="s">
        <v>553</v>
      </c>
      <c r="D46" s="20">
        <v>1</v>
      </c>
      <c r="E46" s="20">
        <v>1</v>
      </c>
      <c r="F46" s="20">
        <v>0</v>
      </c>
    </row>
  </sheetData>
  <mergeCells count="1">
    <mergeCell ref="C1:F1"/>
  </mergeCells>
  <pageMargins left="0.7" right="0.7" top="0.75" bottom="0.75" header="0.3" footer="0.3"/>
  <ignoredErrors>
    <ignoredError sqref="E3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A6705-A50C-3344-806E-9C17B7AC72A6}">
  <dimension ref="A1:I198"/>
  <sheetViews>
    <sheetView topLeftCell="A7" zoomScale="193" workbookViewId="0">
      <selection activeCell="C31" sqref="C31"/>
    </sheetView>
  </sheetViews>
  <sheetFormatPr baseColWidth="10" defaultRowHeight="16" x14ac:dyDescent="0.2"/>
  <cols>
    <col min="1" max="1" width="12.33203125" bestFit="1" customWidth="1"/>
    <col min="2" max="4" width="10.83203125" customWidth="1"/>
    <col min="5" max="5" width="10.83203125" style="10" customWidth="1"/>
    <col min="6" max="6" width="19.5" style="10" customWidth="1"/>
    <col min="7" max="8" width="17.6640625" customWidth="1"/>
    <col min="9" max="9" width="68" bestFit="1" customWidth="1"/>
  </cols>
  <sheetData>
    <row r="1" spans="1:9" x14ac:dyDescent="0.2">
      <c r="A1" t="s">
        <v>236</v>
      </c>
      <c r="B1" t="s">
        <v>421</v>
      </c>
      <c r="C1" t="s">
        <v>422</v>
      </c>
      <c r="D1" t="s">
        <v>423</v>
      </c>
      <c r="E1" t="s">
        <v>424</v>
      </c>
      <c r="F1" s="10" t="s">
        <v>478</v>
      </c>
      <c r="G1" t="s">
        <v>479</v>
      </c>
      <c r="H1" t="s">
        <v>480</v>
      </c>
      <c r="I1" t="s">
        <v>244</v>
      </c>
    </row>
    <row r="2" spans="1:9" x14ac:dyDescent="0.2">
      <c r="A2" s="8">
        <v>1</v>
      </c>
      <c r="B2" s="8" t="s">
        <v>230</v>
      </c>
      <c r="E2"/>
      <c r="F2" s="10" t="s">
        <v>493</v>
      </c>
    </row>
    <row r="3" spans="1:9" x14ac:dyDescent="0.2">
      <c r="A3" s="6">
        <v>2</v>
      </c>
      <c r="B3" s="6" t="s">
        <v>230</v>
      </c>
      <c r="C3" s="6" t="s">
        <v>230</v>
      </c>
      <c r="E3"/>
      <c r="F3" s="10" t="s">
        <v>482</v>
      </c>
    </row>
    <row r="4" spans="1:9" x14ac:dyDescent="0.2">
      <c r="A4" s="6">
        <v>3</v>
      </c>
      <c r="B4" s="6" t="s">
        <v>230</v>
      </c>
      <c r="C4" s="6" t="s">
        <v>230</v>
      </c>
      <c r="E4"/>
      <c r="F4" s="10" t="s">
        <v>482</v>
      </c>
    </row>
    <row r="5" spans="1:9" x14ac:dyDescent="0.2">
      <c r="A5" s="2">
        <v>4</v>
      </c>
      <c r="C5" t="s">
        <v>230</v>
      </c>
      <c r="E5"/>
      <c r="F5" s="10" t="s">
        <v>482</v>
      </c>
      <c r="I5" t="s">
        <v>430</v>
      </c>
    </row>
    <row r="6" spans="1:9" x14ac:dyDescent="0.2">
      <c r="A6" s="6">
        <v>5</v>
      </c>
      <c r="B6" s="6" t="s">
        <v>230</v>
      </c>
      <c r="C6" s="6" t="s">
        <v>230</v>
      </c>
      <c r="E6"/>
      <c r="F6" s="10" t="s">
        <v>495</v>
      </c>
    </row>
    <row r="7" spans="1:9" x14ac:dyDescent="0.2">
      <c r="A7" s="6">
        <v>6</v>
      </c>
      <c r="B7" s="6" t="s">
        <v>230</v>
      </c>
      <c r="C7" s="6" t="s">
        <v>230</v>
      </c>
      <c r="E7"/>
      <c r="F7" t="s">
        <v>518</v>
      </c>
      <c r="H7" t="s">
        <v>484</v>
      </c>
    </row>
    <row r="8" spans="1:9" x14ac:dyDescent="0.2">
      <c r="A8" s="6">
        <v>7</v>
      </c>
      <c r="B8" s="6" t="s">
        <v>230</v>
      </c>
      <c r="C8" s="6" t="s">
        <v>230</v>
      </c>
      <c r="E8"/>
      <c r="F8" s="10" t="s">
        <v>517</v>
      </c>
    </row>
    <row r="9" spans="1:9" x14ac:dyDescent="0.2">
      <c r="A9" s="2">
        <v>8</v>
      </c>
      <c r="B9" t="s">
        <v>230</v>
      </c>
      <c r="E9" t="s">
        <v>230</v>
      </c>
      <c r="F9" s="10" t="s">
        <v>485</v>
      </c>
      <c r="G9" t="s">
        <v>486</v>
      </c>
      <c r="I9" t="s">
        <v>425</v>
      </c>
    </row>
    <row r="10" spans="1:9" x14ac:dyDescent="0.2">
      <c r="A10" s="6">
        <v>9</v>
      </c>
      <c r="B10" s="6" t="s">
        <v>230</v>
      </c>
      <c r="C10" s="6" t="s">
        <v>230</v>
      </c>
      <c r="E10"/>
      <c r="F10" t="s">
        <v>512</v>
      </c>
      <c r="G10" t="s">
        <v>487</v>
      </c>
    </row>
    <row r="11" spans="1:9" x14ac:dyDescent="0.2">
      <c r="A11" s="6">
        <v>10</v>
      </c>
      <c r="B11" s="6" t="s">
        <v>230</v>
      </c>
      <c r="C11" s="6" t="s">
        <v>230</v>
      </c>
      <c r="E11"/>
      <c r="F11" s="10" t="s">
        <v>488</v>
      </c>
    </row>
    <row r="12" spans="1:9" x14ac:dyDescent="0.2">
      <c r="A12" s="6">
        <v>11</v>
      </c>
      <c r="B12" s="6" t="s">
        <v>230</v>
      </c>
      <c r="C12" s="6" t="s">
        <v>230</v>
      </c>
      <c r="E12"/>
      <c r="F12" s="10" t="s">
        <v>493</v>
      </c>
    </row>
    <row r="13" spans="1:9" x14ac:dyDescent="0.2">
      <c r="A13" s="6">
        <v>12</v>
      </c>
      <c r="B13" s="6" t="s">
        <v>230</v>
      </c>
      <c r="C13" s="6" t="s">
        <v>230</v>
      </c>
      <c r="E13"/>
      <c r="F13" s="10" t="s">
        <v>493</v>
      </c>
    </row>
    <row r="14" spans="1:9" x14ac:dyDescent="0.2">
      <c r="A14" s="6">
        <v>13</v>
      </c>
      <c r="B14" s="6" t="s">
        <v>230</v>
      </c>
      <c r="C14" s="6" t="s">
        <v>230</v>
      </c>
      <c r="E14"/>
      <c r="F14" s="10" t="s">
        <v>519</v>
      </c>
    </row>
    <row r="15" spans="1:9" x14ac:dyDescent="0.2">
      <c r="A15" s="6">
        <v>14</v>
      </c>
      <c r="B15" s="6" t="s">
        <v>230</v>
      </c>
      <c r="C15" s="6" t="s">
        <v>230</v>
      </c>
      <c r="E15"/>
      <c r="F15" s="10" t="s">
        <v>519</v>
      </c>
    </row>
    <row r="16" spans="1:9" x14ac:dyDescent="0.2">
      <c r="A16" s="2">
        <v>15</v>
      </c>
      <c r="B16" t="s">
        <v>230</v>
      </c>
      <c r="E16" t="s">
        <v>230</v>
      </c>
      <c r="F16" s="3" t="s">
        <v>513</v>
      </c>
      <c r="H16" t="s">
        <v>489</v>
      </c>
      <c r="I16" t="s">
        <v>426</v>
      </c>
    </row>
    <row r="17" spans="1:9" x14ac:dyDescent="0.2">
      <c r="A17" s="8">
        <v>16</v>
      </c>
      <c r="B17" s="8" t="s">
        <v>230</v>
      </c>
      <c r="E17"/>
      <c r="F17" s="10" t="s">
        <v>490</v>
      </c>
      <c r="G17" t="s">
        <v>502</v>
      </c>
      <c r="H17" t="s">
        <v>489</v>
      </c>
    </row>
    <row r="18" spans="1:9" x14ac:dyDescent="0.2">
      <c r="A18" s="6">
        <v>17</v>
      </c>
      <c r="B18" s="6" t="s">
        <v>230</v>
      </c>
      <c r="C18" s="6" t="s">
        <v>230</v>
      </c>
      <c r="E18"/>
      <c r="F18" s="10" t="s">
        <v>520</v>
      </c>
    </row>
    <row r="19" spans="1:9" x14ac:dyDescent="0.2">
      <c r="A19" s="6">
        <v>18</v>
      </c>
      <c r="B19" s="6" t="s">
        <v>230</v>
      </c>
      <c r="C19" s="6" t="s">
        <v>230</v>
      </c>
      <c r="E19"/>
      <c r="F19" s="10" t="s">
        <v>491</v>
      </c>
    </row>
    <row r="20" spans="1:9" x14ac:dyDescent="0.2">
      <c r="A20" s="6">
        <v>19</v>
      </c>
      <c r="B20" s="6" t="s">
        <v>230</v>
      </c>
      <c r="C20" s="6" t="s">
        <v>230</v>
      </c>
      <c r="E20"/>
      <c r="F20" s="10" t="s">
        <v>493</v>
      </c>
    </row>
    <row r="21" spans="1:9" x14ac:dyDescent="0.2">
      <c r="A21" s="6">
        <v>20</v>
      </c>
      <c r="B21" s="6" t="s">
        <v>230</v>
      </c>
      <c r="C21" s="6" t="s">
        <v>230</v>
      </c>
      <c r="E21"/>
      <c r="F21" s="10" t="s">
        <v>492</v>
      </c>
      <c r="I21" t="s">
        <v>427</v>
      </c>
    </row>
    <row r="22" spans="1:9" x14ac:dyDescent="0.2">
      <c r="A22" s="6">
        <v>21</v>
      </c>
      <c r="B22" s="6" t="s">
        <v>230</v>
      </c>
      <c r="C22" s="6" t="s">
        <v>230</v>
      </c>
      <c r="E22"/>
      <c r="F22" s="10" t="s">
        <v>493</v>
      </c>
    </row>
    <row r="23" spans="1:9" x14ac:dyDescent="0.2">
      <c r="A23" s="6">
        <v>22</v>
      </c>
      <c r="B23" s="6" t="s">
        <v>230</v>
      </c>
      <c r="C23" s="6" t="s">
        <v>230</v>
      </c>
      <c r="E23"/>
      <c r="F23" s="10" t="s">
        <v>521</v>
      </c>
      <c r="G23" t="s">
        <v>494</v>
      </c>
      <c r="H23" t="s">
        <v>489</v>
      </c>
    </row>
    <row r="24" spans="1:9" x14ac:dyDescent="0.2">
      <c r="A24" s="6">
        <v>23</v>
      </c>
      <c r="B24" s="6" t="s">
        <v>230</v>
      </c>
      <c r="C24" s="6" t="s">
        <v>230</v>
      </c>
      <c r="E24"/>
      <c r="F24" s="10" t="s">
        <v>495</v>
      </c>
      <c r="G24" t="s">
        <v>496</v>
      </c>
    </row>
    <row r="25" spans="1:9" x14ac:dyDescent="0.2">
      <c r="A25" s="6">
        <v>24</v>
      </c>
      <c r="B25" s="6" t="s">
        <v>230</v>
      </c>
      <c r="C25" s="6" t="s">
        <v>230</v>
      </c>
      <c r="E25"/>
      <c r="F25" s="10" t="s">
        <v>497</v>
      </c>
    </row>
    <row r="26" spans="1:9" x14ac:dyDescent="0.2">
      <c r="A26" s="2">
        <v>25</v>
      </c>
      <c r="C26" t="s">
        <v>230</v>
      </c>
      <c r="E26"/>
      <c r="F26" s="10" t="s">
        <v>495</v>
      </c>
      <c r="I26" t="s">
        <v>428</v>
      </c>
    </row>
    <row r="27" spans="1:9" x14ac:dyDescent="0.2">
      <c r="A27" s="6">
        <v>26</v>
      </c>
      <c r="B27" s="6" t="s">
        <v>230</v>
      </c>
      <c r="C27" s="6" t="s">
        <v>230</v>
      </c>
      <c r="E27"/>
      <c r="F27" s="10" t="s">
        <v>495</v>
      </c>
    </row>
    <row r="28" spans="1:9" x14ac:dyDescent="0.2">
      <c r="A28" s="8">
        <v>27</v>
      </c>
      <c r="B28" s="8" t="s">
        <v>230</v>
      </c>
      <c r="E28"/>
      <c r="F28" s="10" t="s">
        <v>522</v>
      </c>
    </row>
    <row r="29" spans="1:9" x14ac:dyDescent="0.2">
      <c r="A29" s="6">
        <v>28</v>
      </c>
      <c r="B29" s="6" t="s">
        <v>230</v>
      </c>
      <c r="C29" s="6" t="s">
        <v>230</v>
      </c>
      <c r="E29"/>
      <c r="F29" s="10" t="s">
        <v>498</v>
      </c>
      <c r="G29" t="s">
        <v>499</v>
      </c>
      <c r="H29" t="s">
        <v>500</v>
      </c>
    </row>
    <row r="30" spans="1:9" x14ac:dyDescent="0.2">
      <c r="A30" s="6">
        <v>29</v>
      </c>
      <c r="B30" s="6" t="s">
        <v>230</v>
      </c>
      <c r="C30" s="6" t="s">
        <v>230</v>
      </c>
      <c r="E30"/>
      <c r="F30" s="10" t="s">
        <v>519</v>
      </c>
      <c r="G30" t="s">
        <v>501</v>
      </c>
      <c r="I30" t="s">
        <v>427</v>
      </c>
    </row>
    <row r="31" spans="1:9" x14ac:dyDescent="0.2">
      <c r="A31" s="8">
        <v>30</v>
      </c>
      <c r="B31" s="8" t="s">
        <v>230</v>
      </c>
      <c r="E31"/>
      <c r="F31" s="10" t="s">
        <v>514</v>
      </c>
    </row>
    <row r="32" spans="1:9" x14ac:dyDescent="0.2">
      <c r="A32" s="6">
        <v>31</v>
      </c>
      <c r="B32" s="6" t="s">
        <v>230</v>
      </c>
      <c r="C32" s="6" t="s">
        <v>230</v>
      </c>
      <c r="E32"/>
      <c r="F32" s="10" t="s">
        <v>493</v>
      </c>
    </row>
    <row r="33" spans="1:9" x14ac:dyDescent="0.2">
      <c r="A33" s="7">
        <v>32</v>
      </c>
      <c r="E33"/>
      <c r="F33" s="10" t="s">
        <v>503</v>
      </c>
      <c r="H33" t="s">
        <v>489</v>
      </c>
      <c r="I33" t="s">
        <v>429</v>
      </c>
    </row>
    <row r="34" spans="1:9" x14ac:dyDescent="0.2">
      <c r="A34" s="6">
        <v>33</v>
      </c>
      <c r="B34" s="6" t="s">
        <v>230</v>
      </c>
      <c r="C34" s="6" t="s">
        <v>230</v>
      </c>
      <c r="E34"/>
      <c r="F34" s="10" t="s">
        <v>504</v>
      </c>
      <c r="G34" t="s">
        <v>505</v>
      </c>
    </row>
    <row r="35" spans="1:9" x14ac:dyDescent="0.2">
      <c r="A35" s="6">
        <v>34</v>
      </c>
      <c r="B35" s="6" t="s">
        <v>230</v>
      </c>
      <c r="C35" s="6" t="s">
        <v>230</v>
      </c>
      <c r="E35"/>
      <c r="F35" s="10" t="s">
        <v>493</v>
      </c>
    </row>
    <row r="36" spans="1:9" x14ac:dyDescent="0.2">
      <c r="A36" s="2">
        <v>35</v>
      </c>
      <c r="B36" t="s">
        <v>230</v>
      </c>
      <c r="C36" t="s">
        <v>230</v>
      </c>
      <c r="E36" t="s">
        <v>230</v>
      </c>
      <c r="F36" s="10" t="s">
        <v>493</v>
      </c>
      <c r="I36" t="s">
        <v>431</v>
      </c>
    </row>
    <row r="37" spans="1:9" x14ac:dyDescent="0.2">
      <c r="A37" s="6">
        <v>36</v>
      </c>
      <c r="B37" s="6" t="s">
        <v>230</v>
      </c>
      <c r="C37" s="6" t="s">
        <v>230</v>
      </c>
      <c r="E37"/>
      <c r="F37" t="s">
        <v>515</v>
      </c>
    </row>
    <row r="38" spans="1:9" x14ac:dyDescent="0.2">
      <c r="A38" s="6">
        <v>37</v>
      </c>
      <c r="B38" s="6" t="s">
        <v>230</v>
      </c>
      <c r="C38" s="6" t="s">
        <v>230</v>
      </c>
      <c r="E38"/>
      <c r="F38" s="10" t="s">
        <v>495</v>
      </c>
    </row>
    <row r="39" spans="1:9" x14ac:dyDescent="0.2">
      <c r="A39" s="6">
        <v>38</v>
      </c>
      <c r="B39" s="6" t="s">
        <v>230</v>
      </c>
      <c r="C39" s="6" t="s">
        <v>230</v>
      </c>
      <c r="E39"/>
      <c r="F39" s="10" t="s">
        <v>493</v>
      </c>
    </row>
    <row r="40" spans="1:9" x14ac:dyDescent="0.2">
      <c r="A40" s="2">
        <v>39</v>
      </c>
      <c r="B40" t="s">
        <v>230</v>
      </c>
      <c r="C40" t="s">
        <v>230</v>
      </c>
      <c r="D40" t="s">
        <v>230</v>
      </c>
      <c r="E40"/>
      <c r="F40" t="s">
        <v>516</v>
      </c>
      <c r="G40" t="s">
        <v>506</v>
      </c>
      <c r="H40" t="s">
        <v>483</v>
      </c>
      <c r="I40" t="s">
        <v>432</v>
      </c>
    </row>
    <row r="41" spans="1:9" x14ac:dyDescent="0.2">
      <c r="A41" s="7">
        <v>40</v>
      </c>
      <c r="E41"/>
      <c r="F41" s="10" t="s">
        <v>493</v>
      </c>
      <c r="I41" t="s">
        <v>433</v>
      </c>
    </row>
    <row r="42" spans="1:9" x14ac:dyDescent="0.2">
      <c r="A42" s="6">
        <v>41</v>
      </c>
      <c r="B42" s="6" t="s">
        <v>230</v>
      </c>
      <c r="C42" s="6" t="s">
        <v>230</v>
      </c>
      <c r="E42"/>
      <c r="F42" s="10" t="s">
        <v>507</v>
      </c>
    </row>
    <row r="43" spans="1:9" x14ac:dyDescent="0.2">
      <c r="A43" s="6">
        <v>42</v>
      </c>
      <c r="B43" s="6" t="s">
        <v>230</v>
      </c>
      <c r="C43" s="6" t="s">
        <v>230</v>
      </c>
      <c r="E43"/>
      <c r="F43" s="10" t="s">
        <v>509</v>
      </c>
      <c r="H43" t="s">
        <v>489</v>
      </c>
    </row>
    <row r="44" spans="1:9" x14ac:dyDescent="0.2">
      <c r="A44" s="6">
        <v>43</v>
      </c>
      <c r="B44" s="6" t="s">
        <v>230</v>
      </c>
      <c r="C44" s="6" t="s">
        <v>230</v>
      </c>
      <c r="E44"/>
      <c r="F44" s="10" t="s">
        <v>510</v>
      </c>
      <c r="G44" t="s">
        <v>511</v>
      </c>
    </row>
    <row r="45" spans="1:9" x14ac:dyDescent="0.2">
      <c r="E45"/>
    </row>
    <row r="46" spans="1:9" x14ac:dyDescent="0.2">
      <c r="E46"/>
    </row>
    <row r="47" spans="1:9" x14ac:dyDescent="0.2">
      <c r="B47" s="2" t="s">
        <v>438</v>
      </c>
      <c r="E47"/>
      <c r="F47" s="10" t="s">
        <v>523</v>
      </c>
      <c r="G47" t="s">
        <v>530</v>
      </c>
      <c r="H47" t="s">
        <v>531</v>
      </c>
    </row>
    <row r="48" spans="1:9" x14ac:dyDescent="0.2">
      <c r="B48" s="2" t="s">
        <v>439</v>
      </c>
      <c r="E48"/>
      <c r="F48" s="10" t="s">
        <v>524</v>
      </c>
      <c r="H48" t="s">
        <v>532</v>
      </c>
    </row>
    <row r="49" spans="2:8" x14ac:dyDescent="0.2">
      <c r="B49" s="2" t="s">
        <v>440</v>
      </c>
      <c r="C49" s="2" t="s">
        <v>444</v>
      </c>
      <c r="E49"/>
      <c r="F49" s="10" t="s">
        <v>525</v>
      </c>
      <c r="H49" t="s">
        <v>533</v>
      </c>
    </row>
    <row r="50" spans="2:8" x14ac:dyDescent="0.2">
      <c r="B50" s="2" t="s">
        <v>441</v>
      </c>
      <c r="E50"/>
      <c r="F50" s="10" t="s">
        <v>526</v>
      </c>
    </row>
    <row r="51" spans="2:8" x14ac:dyDescent="0.2">
      <c r="B51" s="2" t="s">
        <v>442</v>
      </c>
      <c r="E51"/>
      <c r="F51" s="10" t="s">
        <v>527</v>
      </c>
    </row>
    <row r="52" spans="2:8" x14ac:dyDescent="0.2">
      <c r="B52" s="2" t="s">
        <v>443</v>
      </c>
      <c r="E52"/>
      <c r="F52" s="10" t="s">
        <v>529</v>
      </c>
    </row>
    <row r="53" spans="2:8" x14ac:dyDescent="0.2">
      <c r="E53"/>
      <c r="F53" s="10" t="s">
        <v>528</v>
      </c>
    </row>
    <row r="54" spans="2:8" x14ac:dyDescent="0.2">
      <c r="E54"/>
    </row>
    <row r="55" spans="2:8" x14ac:dyDescent="0.2">
      <c r="E55"/>
    </row>
    <row r="56" spans="2:8" x14ac:dyDescent="0.2">
      <c r="E56"/>
    </row>
    <row r="57" spans="2:8" x14ac:dyDescent="0.2">
      <c r="E57"/>
    </row>
    <row r="58" spans="2:8" x14ac:dyDescent="0.2">
      <c r="E58"/>
    </row>
    <row r="59" spans="2:8" x14ac:dyDescent="0.2">
      <c r="E59"/>
    </row>
    <row r="60" spans="2:8" x14ac:dyDescent="0.2">
      <c r="E60"/>
    </row>
    <row r="61" spans="2:8" x14ac:dyDescent="0.2">
      <c r="E61"/>
    </row>
    <row r="62" spans="2:8" x14ac:dyDescent="0.2">
      <c r="E62"/>
    </row>
    <row r="63" spans="2:8" x14ac:dyDescent="0.2">
      <c r="E63"/>
    </row>
    <row r="64" spans="2:8" x14ac:dyDescent="0.2">
      <c r="E64"/>
    </row>
    <row r="65" spans="5:5" x14ac:dyDescent="0.2">
      <c r="E65"/>
    </row>
    <row r="66" spans="5:5" x14ac:dyDescent="0.2">
      <c r="E66"/>
    </row>
    <row r="67" spans="5:5" x14ac:dyDescent="0.2">
      <c r="E67"/>
    </row>
    <row r="68" spans="5:5" x14ac:dyDescent="0.2">
      <c r="E68"/>
    </row>
    <row r="69" spans="5:5" x14ac:dyDescent="0.2">
      <c r="E69"/>
    </row>
    <row r="70" spans="5:5" x14ac:dyDescent="0.2">
      <c r="E70"/>
    </row>
    <row r="71" spans="5:5" x14ac:dyDescent="0.2">
      <c r="E71"/>
    </row>
    <row r="72" spans="5:5" x14ac:dyDescent="0.2">
      <c r="E72"/>
    </row>
    <row r="73" spans="5:5" x14ac:dyDescent="0.2">
      <c r="E73"/>
    </row>
    <row r="74" spans="5:5" x14ac:dyDescent="0.2">
      <c r="E74"/>
    </row>
    <row r="75" spans="5:5" x14ac:dyDescent="0.2">
      <c r="E75"/>
    </row>
    <row r="76" spans="5:5" x14ac:dyDescent="0.2">
      <c r="E76"/>
    </row>
    <row r="77" spans="5:5" x14ac:dyDescent="0.2">
      <c r="E77"/>
    </row>
    <row r="78" spans="5:5" x14ac:dyDescent="0.2">
      <c r="E78"/>
    </row>
    <row r="79" spans="5:5" x14ac:dyDescent="0.2">
      <c r="E79"/>
    </row>
    <row r="80" spans="5:5" x14ac:dyDescent="0.2">
      <c r="E80"/>
    </row>
    <row r="81" spans="5:5" x14ac:dyDescent="0.2">
      <c r="E81"/>
    </row>
    <row r="82" spans="5:5" x14ac:dyDescent="0.2">
      <c r="E82"/>
    </row>
    <row r="83" spans="5:5" x14ac:dyDescent="0.2">
      <c r="E83"/>
    </row>
    <row r="84" spans="5:5" x14ac:dyDescent="0.2">
      <c r="E84"/>
    </row>
    <row r="85" spans="5:5" x14ac:dyDescent="0.2">
      <c r="E85"/>
    </row>
    <row r="86" spans="5:5" x14ac:dyDescent="0.2">
      <c r="E86"/>
    </row>
    <row r="87" spans="5:5" x14ac:dyDescent="0.2">
      <c r="E87"/>
    </row>
    <row r="88" spans="5:5" x14ac:dyDescent="0.2">
      <c r="E88"/>
    </row>
    <row r="89" spans="5:5" x14ac:dyDescent="0.2">
      <c r="E89"/>
    </row>
    <row r="90" spans="5:5" x14ac:dyDescent="0.2">
      <c r="E90"/>
    </row>
    <row r="91" spans="5:5" x14ac:dyDescent="0.2">
      <c r="E91"/>
    </row>
    <row r="92" spans="5:5" x14ac:dyDescent="0.2">
      <c r="E92"/>
    </row>
    <row r="93" spans="5:5" x14ac:dyDescent="0.2">
      <c r="E93"/>
    </row>
    <row r="94" spans="5:5" x14ac:dyDescent="0.2">
      <c r="E94"/>
    </row>
    <row r="95" spans="5:5" x14ac:dyDescent="0.2">
      <c r="E95"/>
    </row>
    <row r="96" spans="5:5" x14ac:dyDescent="0.2">
      <c r="E96"/>
    </row>
    <row r="97" spans="5:5" x14ac:dyDescent="0.2">
      <c r="E97"/>
    </row>
    <row r="98" spans="5:5" x14ac:dyDescent="0.2">
      <c r="E98"/>
    </row>
    <row r="99" spans="5:5" x14ac:dyDescent="0.2">
      <c r="E99"/>
    </row>
    <row r="100" spans="5:5" x14ac:dyDescent="0.2">
      <c r="E100"/>
    </row>
    <row r="101" spans="5:5" x14ac:dyDescent="0.2">
      <c r="E101"/>
    </row>
    <row r="102" spans="5:5" x14ac:dyDescent="0.2">
      <c r="E102"/>
    </row>
    <row r="103" spans="5:5" x14ac:dyDescent="0.2">
      <c r="E103"/>
    </row>
    <row r="104" spans="5:5" x14ac:dyDescent="0.2">
      <c r="E104"/>
    </row>
    <row r="105" spans="5:5" x14ac:dyDescent="0.2">
      <c r="E105"/>
    </row>
    <row r="106" spans="5:5" x14ac:dyDescent="0.2">
      <c r="E106"/>
    </row>
    <row r="107" spans="5:5" x14ac:dyDescent="0.2">
      <c r="E107"/>
    </row>
    <row r="108" spans="5:5" x14ac:dyDescent="0.2">
      <c r="E108"/>
    </row>
    <row r="109" spans="5:5" x14ac:dyDescent="0.2">
      <c r="E109"/>
    </row>
    <row r="110" spans="5:5" x14ac:dyDescent="0.2">
      <c r="E110"/>
    </row>
    <row r="111" spans="5:5" x14ac:dyDescent="0.2">
      <c r="E111"/>
    </row>
    <row r="112" spans="5:5" x14ac:dyDescent="0.2">
      <c r="E112"/>
    </row>
    <row r="113" spans="5:5" x14ac:dyDescent="0.2">
      <c r="E113"/>
    </row>
    <row r="114" spans="5:5" x14ac:dyDescent="0.2">
      <c r="E114"/>
    </row>
    <row r="115" spans="5:5" x14ac:dyDescent="0.2">
      <c r="E115"/>
    </row>
    <row r="116" spans="5:5" x14ac:dyDescent="0.2">
      <c r="E116"/>
    </row>
    <row r="117" spans="5:5" x14ac:dyDescent="0.2">
      <c r="E117"/>
    </row>
    <row r="118" spans="5:5" x14ac:dyDescent="0.2">
      <c r="E118"/>
    </row>
    <row r="119" spans="5:5" x14ac:dyDescent="0.2">
      <c r="E119"/>
    </row>
    <row r="120" spans="5:5" x14ac:dyDescent="0.2">
      <c r="E120"/>
    </row>
    <row r="121" spans="5:5" x14ac:dyDescent="0.2">
      <c r="E121"/>
    </row>
    <row r="122" spans="5:5" x14ac:dyDescent="0.2">
      <c r="E122"/>
    </row>
    <row r="123" spans="5:5" x14ac:dyDescent="0.2">
      <c r="E123"/>
    </row>
    <row r="124" spans="5:5" x14ac:dyDescent="0.2">
      <c r="E124"/>
    </row>
    <row r="125" spans="5:5" x14ac:dyDescent="0.2">
      <c r="E125"/>
    </row>
    <row r="126" spans="5:5" x14ac:dyDescent="0.2">
      <c r="E126"/>
    </row>
    <row r="127" spans="5:5" x14ac:dyDescent="0.2">
      <c r="E127"/>
    </row>
    <row r="128" spans="5:5" x14ac:dyDescent="0.2">
      <c r="E128"/>
    </row>
    <row r="129" spans="5:5" x14ac:dyDescent="0.2">
      <c r="E129"/>
    </row>
    <row r="130" spans="5:5" x14ac:dyDescent="0.2">
      <c r="E130"/>
    </row>
    <row r="131" spans="5:5" x14ac:dyDescent="0.2">
      <c r="E131"/>
    </row>
    <row r="132" spans="5:5" x14ac:dyDescent="0.2">
      <c r="E132"/>
    </row>
    <row r="133" spans="5:5" x14ac:dyDescent="0.2">
      <c r="E133"/>
    </row>
    <row r="134" spans="5:5" x14ac:dyDescent="0.2">
      <c r="E134"/>
    </row>
    <row r="135" spans="5:5" x14ac:dyDescent="0.2">
      <c r="E135"/>
    </row>
    <row r="136" spans="5:5" x14ac:dyDescent="0.2">
      <c r="E136"/>
    </row>
    <row r="137" spans="5:5" x14ac:dyDescent="0.2">
      <c r="E137"/>
    </row>
    <row r="138" spans="5:5" x14ac:dyDescent="0.2">
      <c r="E138"/>
    </row>
    <row r="139" spans="5:5" x14ac:dyDescent="0.2">
      <c r="E139"/>
    </row>
    <row r="140" spans="5:5" x14ac:dyDescent="0.2">
      <c r="E140"/>
    </row>
    <row r="141" spans="5:5" x14ac:dyDescent="0.2">
      <c r="E141"/>
    </row>
    <row r="142" spans="5:5" x14ac:dyDescent="0.2">
      <c r="E142"/>
    </row>
    <row r="143" spans="5:5" x14ac:dyDescent="0.2">
      <c r="E143"/>
    </row>
    <row r="144" spans="5:5" x14ac:dyDescent="0.2">
      <c r="E144"/>
    </row>
    <row r="145" spans="5:5" x14ac:dyDescent="0.2">
      <c r="E145"/>
    </row>
    <row r="146" spans="5:5" x14ac:dyDescent="0.2">
      <c r="E146"/>
    </row>
    <row r="147" spans="5:5" x14ac:dyDescent="0.2">
      <c r="E147"/>
    </row>
    <row r="148" spans="5:5" x14ac:dyDescent="0.2">
      <c r="E148"/>
    </row>
    <row r="149" spans="5:5" x14ac:dyDescent="0.2">
      <c r="E149"/>
    </row>
    <row r="150" spans="5:5" x14ac:dyDescent="0.2">
      <c r="E150"/>
    </row>
    <row r="151" spans="5:5" x14ac:dyDescent="0.2">
      <c r="E151"/>
    </row>
    <row r="152" spans="5:5" x14ac:dyDescent="0.2">
      <c r="E152"/>
    </row>
    <row r="153" spans="5:5" x14ac:dyDescent="0.2">
      <c r="E153"/>
    </row>
    <row r="154" spans="5:5" x14ac:dyDescent="0.2">
      <c r="E154"/>
    </row>
    <row r="155" spans="5:5" x14ac:dyDescent="0.2">
      <c r="E155"/>
    </row>
    <row r="156" spans="5:5" x14ac:dyDescent="0.2">
      <c r="E156"/>
    </row>
    <row r="157" spans="5:5" x14ac:dyDescent="0.2">
      <c r="E157"/>
    </row>
    <row r="158" spans="5:5" x14ac:dyDescent="0.2">
      <c r="E158"/>
    </row>
    <row r="159" spans="5:5" x14ac:dyDescent="0.2">
      <c r="E159"/>
    </row>
    <row r="160" spans="5:5" x14ac:dyDescent="0.2">
      <c r="E160"/>
    </row>
    <row r="161" spans="5:5" x14ac:dyDescent="0.2">
      <c r="E161"/>
    </row>
    <row r="162" spans="5:5" x14ac:dyDescent="0.2">
      <c r="E162"/>
    </row>
    <row r="163" spans="5:5" x14ac:dyDescent="0.2">
      <c r="E163"/>
    </row>
    <row r="164" spans="5:5" x14ac:dyDescent="0.2">
      <c r="E164"/>
    </row>
    <row r="165" spans="5:5" x14ac:dyDescent="0.2">
      <c r="E165"/>
    </row>
    <row r="166" spans="5:5" x14ac:dyDescent="0.2">
      <c r="E166"/>
    </row>
    <row r="167" spans="5:5" x14ac:dyDescent="0.2">
      <c r="E167"/>
    </row>
    <row r="168" spans="5:5" x14ac:dyDescent="0.2">
      <c r="E168"/>
    </row>
    <row r="169" spans="5:5" x14ac:dyDescent="0.2">
      <c r="E169"/>
    </row>
    <row r="170" spans="5:5" x14ac:dyDescent="0.2">
      <c r="E170"/>
    </row>
    <row r="171" spans="5:5" x14ac:dyDescent="0.2">
      <c r="E171"/>
    </row>
    <row r="172" spans="5:5" x14ac:dyDescent="0.2">
      <c r="E172"/>
    </row>
    <row r="173" spans="5:5" x14ac:dyDescent="0.2">
      <c r="E173"/>
    </row>
    <row r="174" spans="5:5" x14ac:dyDescent="0.2">
      <c r="E174"/>
    </row>
    <row r="175" spans="5:5" x14ac:dyDescent="0.2">
      <c r="E175"/>
    </row>
    <row r="176" spans="5:5" x14ac:dyDescent="0.2">
      <c r="E176"/>
    </row>
    <row r="177" spans="5:5" x14ac:dyDescent="0.2">
      <c r="E177"/>
    </row>
    <row r="178" spans="5:5" x14ac:dyDescent="0.2">
      <c r="E178"/>
    </row>
    <row r="179" spans="5:5" x14ac:dyDescent="0.2">
      <c r="E179"/>
    </row>
    <row r="180" spans="5:5" x14ac:dyDescent="0.2">
      <c r="E180"/>
    </row>
    <row r="181" spans="5:5" x14ac:dyDescent="0.2">
      <c r="E181"/>
    </row>
    <row r="182" spans="5:5" x14ac:dyDescent="0.2">
      <c r="E182"/>
    </row>
    <row r="183" spans="5:5" x14ac:dyDescent="0.2">
      <c r="E183"/>
    </row>
    <row r="184" spans="5:5" x14ac:dyDescent="0.2">
      <c r="E184"/>
    </row>
    <row r="185" spans="5:5" x14ac:dyDescent="0.2">
      <c r="E185"/>
    </row>
    <row r="186" spans="5:5" x14ac:dyDescent="0.2">
      <c r="E186"/>
    </row>
    <row r="187" spans="5:5" x14ac:dyDescent="0.2">
      <c r="E187"/>
    </row>
    <row r="188" spans="5:5" x14ac:dyDescent="0.2">
      <c r="E188"/>
    </row>
    <row r="189" spans="5:5" x14ac:dyDescent="0.2">
      <c r="E189"/>
    </row>
    <row r="190" spans="5:5" x14ac:dyDescent="0.2">
      <c r="E190"/>
    </row>
    <row r="191" spans="5:5" x14ac:dyDescent="0.2">
      <c r="E191"/>
    </row>
    <row r="192" spans="5:5" x14ac:dyDescent="0.2">
      <c r="E192"/>
    </row>
    <row r="193" spans="5:5" x14ac:dyDescent="0.2">
      <c r="E193"/>
    </row>
    <row r="194" spans="5:5" x14ac:dyDescent="0.2">
      <c r="E194"/>
    </row>
    <row r="195" spans="5:5" x14ac:dyDescent="0.2">
      <c r="E195"/>
    </row>
    <row r="196" spans="5:5" x14ac:dyDescent="0.2">
      <c r="E196"/>
    </row>
    <row r="197" spans="5:5" x14ac:dyDescent="0.2">
      <c r="E197"/>
    </row>
    <row r="198" spans="5:5" x14ac:dyDescent="0.2">
      <c r="E19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E7722-54BB-734C-B878-7195BD3BCB51}">
  <dimension ref="A1:R45"/>
  <sheetViews>
    <sheetView topLeftCell="C1" zoomScale="126" workbookViewId="0">
      <selection activeCell="A12" sqref="A12:XFD12"/>
    </sheetView>
  </sheetViews>
  <sheetFormatPr baseColWidth="10" defaultRowHeight="16" x14ac:dyDescent="0.2"/>
  <cols>
    <col min="1" max="2" width="11.83203125" customWidth="1"/>
  </cols>
  <sheetData>
    <row r="1" spans="1:18" x14ac:dyDescent="0.2">
      <c r="A1" t="s">
        <v>236</v>
      </c>
      <c r="B1" t="s">
        <v>392</v>
      </c>
      <c r="C1" t="s">
        <v>237</v>
      </c>
      <c r="E1" t="s">
        <v>238</v>
      </c>
      <c r="G1" t="s">
        <v>239</v>
      </c>
      <c r="I1" t="s">
        <v>240</v>
      </c>
      <c r="K1" t="s">
        <v>241</v>
      </c>
      <c r="M1" t="s">
        <v>242</v>
      </c>
      <c r="O1" t="s">
        <v>243</v>
      </c>
      <c r="Q1" t="s">
        <v>250</v>
      </c>
      <c r="R1" t="s">
        <v>244</v>
      </c>
    </row>
    <row r="2" spans="1:18" x14ac:dyDescent="0.2">
      <c r="A2" s="2">
        <v>1</v>
      </c>
      <c r="B2" t="s">
        <v>416</v>
      </c>
      <c r="C2">
        <v>2</v>
      </c>
      <c r="E2">
        <v>2</v>
      </c>
      <c r="G2">
        <v>2</v>
      </c>
      <c r="I2">
        <v>2</v>
      </c>
      <c r="K2">
        <v>2</v>
      </c>
      <c r="M2">
        <v>2</v>
      </c>
      <c r="O2">
        <v>2</v>
      </c>
      <c r="Q2">
        <v>14</v>
      </c>
      <c r="R2" t="s">
        <v>363</v>
      </c>
    </row>
    <row r="3" spans="1:18" x14ac:dyDescent="0.2">
      <c r="A3" s="2">
        <v>2</v>
      </c>
      <c r="C3">
        <v>1</v>
      </c>
      <c r="D3" s="3" t="s">
        <v>365</v>
      </c>
      <c r="E3">
        <v>1</v>
      </c>
      <c r="G3">
        <v>1</v>
      </c>
      <c r="H3" s="3" t="s">
        <v>246</v>
      </c>
      <c r="I3">
        <v>1</v>
      </c>
      <c r="J3" s="3" t="s">
        <v>247</v>
      </c>
      <c r="K3">
        <v>0</v>
      </c>
      <c r="L3" t="s">
        <v>364</v>
      </c>
      <c r="M3">
        <v>1</v>
      </c>
      <c r="N3" s="3" t="s">
        <v>245</v>
      </c>
      <c r="O3">
        <v>0</v>
      </c>
      <c r="P3" s="3" t="s">
        <v>367</v>
      </c>
      <c r="Q3" s="3">
        <v>7</v>
      </c>
      <c r="R3" t="s">
        <v>366</v>
      </c>
    </row>
    <row r="4" spans="1:18" x14ac:dyDescent="0.2">
      <c r="A4" s="2">
        <v>3</v>
      </c>
      <c r="B4" t="s">
        <v>417</v>
      </c>
      <c r="C4">
        <v>1</v>
      </c>
      <c r="D4" s="3" t="s">
        <v>372</v>
      </c>
      <c r="E4">
        <v>1</v>
      </c>
      <c r="F4" s="3" t="s">
        <v>369</v>
      </c>
      <c r="G4">
        <v>0</v>
      </c>
      <c r="I4">
        <v>1</v>
      </c>
      <c r="J4" s="3" t="s">
        <v>370</v>
      </c>
      <c r="K4">
        <v>1</v>
      </c>
      <c r="L4" t="s">
        <v>368</v>
      </c>
      <c r="M4">
        <v>0</v>
      </c>
      <c r="N4" s="3" t="s">
        <v>371</v>
      </c>
      <c r="O4">
        <v>0</v>
      </c>
      <c r="P4" t="s">
        <v>373</v>
      </c>
      <c r="Q4" s="3">
        <v>4</v>
      </c>
      <c r="R4" t="s">
        <v>374</v>
      </c>
    </row>
    <row r="5" spans="1:18" x14ac:dyDescent="0.2">
      <c r="A5" s="2">
        <v>4</v>
      </c>
      <c r="C5">
        <v>0</v>
      </c>
      <c r="E5">
        <v>0</v>
      </c>
      <c r="G5">
        <v>0</v>
      </c>
      <c r="I5">
        <v>0</v>
      </c>
      <c r="K5">
        <v>0</v>
      </c>
      <c r="M5">
        <v>0</v>
      </c>
      <c r="O5">
        <v>0</v>
      </c>
      <c r="Q5">
        <v>0</v>
      </c>
      <c r="R5" t="s">
        <v>248</v>
      </c>
    </row>
    <row r="6" spans="1:18" x14ac:dyDescent="0.2">
      <c r="A6" s="2">
        <v>5</v>
      </c>
      <c r="B6" t="s">
        <v>418</v>
      </c>
      <c r="C6">
        <v>0</v>
      </c>
      <c r="E6">
        <v>0</v>
      </c>
      <c r="F6" t="s">
        <v>378</v>
      </c>
      <c r="G6">
        <v>1</v>
      </c>
      <c r="H6" s="3" t="s">
        <v>375</v>
      </c>
      <c r="I6">
        <v>1</v>
      </c>
      <c r="J6" t="s">
        <v>376</v>
      </c>
      <c r="K6">
        <v>0</v>
      </c>
      <c r="L6" s="3" t="s">
        <v>377</v>
      </c>
      <c r="M6">
        <v>0</v>
      </c>
      <c r="N6" t="s">
        <v>379</v>
      </c>
      <c r="O6">
        <v>0</v>
      </c>
      <c r="Q6">
        <v>2</v>
      </c>
      <c r="R6" t="s">
        <v>249</v>
      </c>
    </row>
    <row r="7" spans="1:18" x14ac:dyDescent="0.2">
      <c r="A7" s="2">
        <v>6</v>
      </c>
      <c r="C7">
        <v>1</v>
      </c>
      <c r="D7" s="3" t="s">
        <v>380</v>
      </c>
      <c r="E7">
        <v>0</v>
      </c>
      <c r="F7" t="s">
        <v>384</v>
      </c>
      <c r="G7">
        <v>0</v>
      </c>
      <c r="H7" s="3" t="s">
        <v>386</v>
      </c>
      <c r="I7">
        <v>1</v>
      </c>
      <c r="J7" t="s">
        <v>383</v>
      </c>
      <c r="K7">
        <v>2</v>
      </c>
      <c r="L7" s="3" t="s">
        <v>381</v>
      </c>
      <c r="M7">
        <v>0</v>
      </c>
      <c r="N7" t="s">
        <v>385</v>
      </c>
      <c r="O7">
        <v>1</v>
      </c>
      <c r="P7" t="s">
        <v>382</v>
      </c>
      <c r="Q7">
        <v>5</v>
      </c>
      <c r="R7" t="s">
        <v>387</v>
      </c>
    </row>
    <row r="8" spans="1:18" x14ac:dyDescent="0.2">
      <c r="A8" s="2">
        <v>7</v>
      </c>
      <c r="B8" s="2" t="s">
        <v>419</v>
      </c>
      <c r="C8">
        <v>0</v>
      </c>
      <c r="E8">
        <v>0</v>
      </c>
      <c r="G8">
        <v>1</v>
      </c>
      <c r="H8" s="3" t="s">
        <v>388</v>
      </c>
      <c r="I8">
        <v>1</v>
      </c>
      <c r="J8" t="s">
        <v>251</v>
      </c>
      <c r="K8">
        <v>1</v>
      </c>
      <c r="L8" s="3" t="s">
        <v>389</v>
      </c>
      <c r="M8">
        <v>1</v>
      </c>
      <c r="N8" t="s">
        <v>252</v>
      </c>
      <c r="O8">
        <v>0</v>
      </c>
      <c r="Q8">
        <v>4</v>
      </c>
      <c r="R8" t="s">
        <v>253</v>
      </c>
    </row>
    <row r="9" spans="1:18" x14ac:dyDescent="0.2">
      <c r="A9" s="2">
        <v>8</v>
      </c>
      <c r="C9">
        <v>0</v>
      </c>
      <c r="E9">
        <v>2</v>
      </c>
      <c r="F9" t="s">
        <v>263</v>
      </c>
      <c r="G9">
        <v>0</v>
      </c>
      <c r="I9">
        <v>0</v>
      </c>
      <c r="J9" s="3" t="s">
        <v>390</v>
      </c>
      <c r="K9">
        <v>0</v>
      </c>
      <c r="M9">
        <v>0</v>
      </c>
      <c r="O9">
        <v>0</v>
      </c>
      <c r="Q9">
        <v>2</v>
      </c>
      <c r="R9" t="s">
        <v>391</v>
      </c>
    </row>
    <row r="10" spans="1:18" x14ac:dyDescent="0.2">
      <c r="A10" s="2">
        <v>9</v>
      </c>
      <c r="C10">
        <v>0</v>
      </c>
      <c r="E10">
        <v>2</v>
      </c>
      <c r="F10" s="3" t="s">
        <v>394</v>
      </c>
      <c r="G10">
        <v>2</v>
      </c>
      <c r="H10" s="3" t="s">
        <v>395</v>
      </c>
      <c r="I10">
        <v>1</v>
      </c>
      <c r="J10" s="3" t="s">
        <v>396</v>
      </c>
      <c r="K10">
        <v>1</v>
      </c>
      <c r="L10" s="3" t="s">
        <v>393</v>
      </c>
      <c r="M10">
        <v>1</v>
      </c>
      <c r="N10" t="s">
        <v>400</v>
      </c>
      <c r="O10">
        <v>0</v>
      </c>
      <c r="Q10">
        <v>7</v>
      </c>
      <c r="R10" t="s">
        <v>397</v>
      </c>
    </row>
    <row r="11" spans="1:18" x14ac:dyDescent="0.2">
      <c r="A11" s="2">
        <v>10</v>
      </c>
      <c r="C11">
        <v>0</v>
      </c>
      <c r="E11">
        <v>2</v>
      </c>
      <c r="F11" s="5" t="s">
        <v>398</v>
      </c>
      <c r="G11">
        <v>1</v>
      </c>
      <c r="H11" s="3" t="s">
        <v>399</v>
      </c>
      <c r="I11">
        <v>1</v>
      </c>
      <c r="J11" t="s">
        <v>401</v>
      </c>
      <c r="K11">
        <v>0</v>
      </c>
      <c r="M11">
        <v>0</v>
      </c>
      <c r="O11">
        <v>1</v>
      </c>
      <c r="P11" s="3" t="s">
        <v>402</v>
      </c>
      <c r="Q11">
        <v>5</v>
      </c>
    </row>
    <row r="12" spans="1:18" x14ac:dyDescent="0.2">
      <c r="A12" s="2">
        <v>11</v>
      </c>
      <c r="C12">
        <v>1</v>
      </c>
      <c r="D12" s="5" t="s">
        <v>405</v>
      </c>
      <c r="E12">
        <v>2</v>
      </c>
      <c r="F12" t="s">
        <v>404</v>
      </c>
      <c r="G12">
        <v>2</v>
      </c>
      <c r="H12" s="3" t="s">
        <v>403</v>
      </c>
      <c r="I12">
        <v>0</v>
      </c>
      <c r="K12">
        <v>2</v>
      </c>
      <c r="M12">
        <v>1</v>
      </c>
      <c r="O12">
        <v>0</v>
      </c>
      <c r="Q12">
        <v>8</v>
      </c>
    </row>
    <row r="13" spans="1:18" x14ac:dyDescent="0.2">
      <c r="A13" s="2">
        <v>12</v>
      </c>
      <c r="C13">
        <v>1</v>
      </c>
      <c r="D13" t="s">
        <v>406</v>
      </c>
      <c r="E13">
        <v>2</v>
      </c>
      <c r="G13">
        <v>2</v>
      </c>
      <c r="I13">
        <v>1</v>
      </c>
      <c r="J13" t="s">
        <v>407</v>
      </c>
      <c r="K13">
        <v>1</v>
      </c>
      <c r="M13">
        <v>1</v>
      </c>
      <c r="O13">
        <v>0</v>
      </c>
      <c r="Q13">
        <v>8</v>
      </c>
    </row>
    <row r="14" spans="1:18" x14ac:dyDescent="0.2">
      <c r="A14" s="2">
        <v>13</v>
      </c>
      <c r="C14">
        <v>1</v>
      </c>
      <c r="E14">
        <v>2</v>
      </c>
      <c r="G14">
        <v>1</v>
      </c>
      <c r="I14">
        <v>0</v>
      </c>
      <c r="K14">
        <v>0</v>
      </c>
      <c r="M14">
        <v>0</v>
      </c>
      <c r="O14">
        <v>0</v>
      </c>
      <c r="Q14">
        <v>4</v>
      </c>
    </row>
    <row r="15" spans="1:18" x14ac:dyDescent="0.2">
      <c r="A15" s="2">
        <v>14</v>
      </c>
      <c r="C15">
        <v>1</v>
      </c>
      <c r="E15">
        <v>2</v>
      </c>
      <c r="G15">
        <v>1</v>
      </c>
      <c r="I15">
        <v>0</v>
      </c>
      <c r="K15">
        <v>0</v>
      </c>
      <c r="M15">
        <v>0</v>
      </c>
      <c r="O15">
        <v>0</v>
      </c>
      <c r="Q15">
        <v>4</v>
      </c>
    </row>
    <row r="16" spans="1:18" x14ac:dyDescent="0.2">
      <c r="A16" s="2">
        <v>15</v>
      </c>
      <c r="C16">
        <v>1</v>
      </c>
      <c r="E16">
        <v>0</v>
      </c>
      <c r="G16">
        <v>0</v>
      </c>
      <c r="I16">
        <v>1</v>
      </c>
      <c r="K16">
        <v>1</v>
      </c>
      <c r="M16">
        <v>0</v>
      </c>
      <c r="O16">
        <v>0</v>
      </c>
      <c r="Q16">
        <v>3</v>
      </c>
    </row>
    <row r="17" spans="1:17" x14ac:dyDescent="0.2">
      <c r="A17" s="2">
        <v>16</v>
      </c>
      <c r="C17">
        <v>2</v>
      </c>
      <c r="E17">
        <v>2</v>
      </c>
      <c r="F17" s="3" t="s">
        <v>408</v>
      </c>
      <c r="G17">
        <v>0</v>
      </c>
      <c r="I17">
        <v>0</v>
      </c>
      <c r="K17">
        <v>2</v>
      </c>
      <c r="M17">
        <v>1</v>
      </c>
      <c r="N17" t="s">
        <v>409</v>
      </c>
      <c r="O17">
        <v>0</v>
      </c>
      <c r="Q17">
        <v>7</v>
      </c>
    </row>
    <row r="18" spans="1:17" x14ac:dyDescent="0.2">
      <c r="A18" s="2">
        <v>17</v>
      </c>
      <c r="C18">
        <v>2</v>
      </c>
      <c r="E18">
        <v>2</v>
      </c>
      <c r="G18">
        <v>2</v>
      </c>
      <c r="I18">
        <v>2</v>
      </c>
      <c r="K18">
        <v>0</v>
      </c>
      <c r="M18">
        <v>1</v>
      </c>
      <c r="O18">
        <v>1</v>
      </c>
      <c r="P18" t="s">
        <v>410</v>
      </c>
      <c r="Q18">
        <v>10</v>
      </c>
    </row>
    <row r="19" spans="1:17" x14ac:dyDescent="0.2">
      <c r="A19" s="2">
        <v>18</v>
      </c>
      <c r="C19">
        <v>2</v>
      </c>
      <c r="E19">
        <v>1</v>
      </c>
      <c r="G19">
        <v>2</v>
      </c>
      <c r="I19">
        <v>0</v>
      </c>
      <c r="K19">
        <v>0</v>
      </c>
      <c r="M19">
        <v>0</v>
      </c>
      <c r="O19">
        <v>0</v>
      </c>
      <c r="Q19">
        <v>5</v>
      </c>
    </row>
    <row r="20" spans="1:17" x14ac:dyDescent="0.2">
      <c r="A20" s="2">
        <v>19</v>
      </c>
      <c r="C20">
        <v>2</v>
      </c>
      <c r="E20">
        <v>2</v>
      </c>
      <c r="F20" t="s">
        <v>411</v>
      </c>
      <c r="G20">
        <v>1</v>
      </c>
      <c r="H20" t="s">
        <v>412</v>
      </c>
      <c r="I20">
        <v>0</v>
      </c>
      <c r="K20">
        <v>0</v>
      </c>
      <c r="M20">
        <v>1</v>
      </c>
      <c r="N20" t="s">
        <v>413</v>
      </c>
      <c r="O20">
        <v>0</v>
      </c>
      <c r="Q20">
        <v>6</v>
      </c>
    </row>
    <row r="21" spans="1:17" x14ac:dyDescent="0.2">
      <c r="A21" s="2">
        <v>20</v>
      </c>
      <c r="B21" t="s">
        <v>414</v>
      </c>
      <c r="C21">
        <v>2</v>
      </c>
      <c r="E21">
        <v>2</v>
      </c>
      <c r="G21">
        <v>2</v>
      </c>
      <c r="I21">
        <v>0</v>
      </c>
      <c r="K21">
        <v>2</v>
      </c>
      <c r="L21" t="s">
        <v>415</v>
      </c>
      <c r="M21">
        <v>2</v>
      </c>
      <c r="O21">
        <v>2</v>
      </c>
      <c r="Q21">
        <v>12</v>
      </c>
    </row>
    <row r="22" spans="1:17" x14ac:dyDescent="0.2">
      <c r="A22" s="2">
        <v>21</v>
      </c>
      <c r="C22">
        <v>0</v>
      </c>
      <c r="E22">
        <v>1</v>
      </c>
      <c r="G22">
        <v>1</v>
      </c>
      <c r="I22">
        <v>1</v>
      </c>
      <c r="K22">
        <v>0</v>
      </c>
      <c r="M22">
        <v>0</v>
      </c>
      <c r="O22">
        <v>0</v>
      </c>
      <c r="Q22">
        <v>3</v>
      </c>
    </row>
    <row r="23" spans="1:17" x14ac:dyDescent="0.2">
      <c r="A23" s="2">
        <v>22</v>
      </c>
      <c r="B23" t="s">
        <v>416</v>
      </c>
      <c r="C23">
        <v>2</v>
      </c>
      <c r="E23">
        <v>2</v>
      </c>
      <c r="G23">
        <v>2</v>
      </c>
      <c r="I23">
        <v>2</v>
      </c>
      <c r="K23">
        <v>2</v>
      </c>
      <c r="M23">
        <v>2</v>
      </c>
      <c r="O23">
        <v>2</v>
      </c>
      <c r="Q23">
        <v>14</v>
      </c>
    </row>
    <row r="24" spans="1:17" x14ac:dyDescent="0.2">
      <c r="A24" s="2">
        <v>23</v>
      </c>
      <c r="C24">
        <v>0</v>
      </c>
      <c r="E24">
        <v>2</v>
      </c>
      <c r="G24">
        <v>2</v>
      </c>
      <c r="I24">
        <v>0</v>
      </c>
      <c r="K24">
        <v>2</v>
      </c>
      <c r="M24">
        <v>0</v>
      </c>
      <c r="O24">
        <v>0</v>
      </c>
      <c r="Q24">
        <v>6</v>
      </c>
    </row>
    <row r="25" spans="1:17" x14ac:dyDescent="0.2">
      <c r="A25" s="2">
        <v>24</v>
      </c>
      <c r="B25" t="s">
        <v>116</v>
      </c>
      <c r="C25">
        <v>2</v>
      </c>
      <c r="E25">
        <v>2</v>
      </c>
      <c r="G25">
        <v>2</v>
      </c>
      <c r="I25">
        <v>2</v>
      </c>
      <c r="K25">
        <v>2</v>
      </c>
      <c r="M25">
        <v>2</v>
      </c>
      <c r="O25">
        <v>2</v>
      </c>
      <c r="Q25">
        <v>14</v>
      </c>
    </row>
    <row r="26" spans="1:17" x14ac:dyDescent="0.2">
      <c r="A26" s="2">
        <v>25</v>
      </c>
      <c r="C26" t="s">
        <v>420</v>
      </c>
    </row>
    <row r="27" spans="1:17" x14ac:dyDescent="0.2">
      <c r="A27" s="2">
        <v>26</v>
      </c>
      <c r="C27">
        <v>0</v>
      </c>
      <c r="E27">
        <v>0</v>
      </c>
      <c r="G27">
        <v>0</v>
      </c>
      <c r="I27">
        <v>0</v>
      </c>
      <c r="K27">
        <v>0</v>
      </c>
      <c r="M27">
        <v>0</v>
      </c>
      <c r="O27">
        <v>0</v>
      </c>
      <c r="Q27">
        <v>0</v>
      </c>
    </row>
    <row r="28" spans="1:17" x14ac:dyDescent="0.2">
      <c r="A28" s="2">
        <v>27</v>
      </c>
      <c r="B28" t="s">
        <v>78</v>
      </c>
      <c r="C28">
        <v>2</v>
      </c>
      <c r="E28">
        <v>2</v>
      </c>
      <c r="G28">
        <v>2</v>
      </c>
      <c r="I28">
        <v>2</v>
      </c>
      <c r="K28">
        <v>2</v>
      </c>
      <c r="M28">
        <v>2</v>
      </c>
      <c r="O28">
        <v>2</v>
      </c>
      <c r="Q28">
        <v>14</v>
      </c>
    </row>
    <row r="29" spans="1:17" x14ac:dyDescent="0.2">
      <c r="A29" s="2">
        <v>28</v>
      </c>
      <c r="C29">
        <v>1</v>
      </c>
      <c r="E29">
        <v>0</v>
      </c>
      <c r="G29">
        <v>1</v>
      </c>
      <c r="I29">
        <v>1</v>
      </c>
      <c r="K29">
        <v>0</v>
      </c>
      <c r="M29">
        <v>0</v>
      </c>
      <c r="O29">
        <v>0</v>
      </c>
      <c r="Q29">
        <v>3</v>
      </c>
    </row>
    <row r="30" spans="1:17" x14ac:dyDescent="0.2">
      <c r="A30" s="2">
        <v>29</v>
      </c>
      <c r="C30">
        <v>0</v>
      </c>
      <c r="E30">
        <v>2</v>
      </c>
      <c r="G30">
        <v>1</v>
      </c>
      <c r="I30">
        <v>0</v>
      </c>
      <c r="K30">
        <v>2</v>
      </c>
      <c r="M30">
        <v>0</v>
      </c>
      <c r="O30">
        <v>0</v>
      </c>
      <c r="Q30">
        <v>5</v>
      </c>
    </row>
    <row r="31" spans="1:17" x14ac:dyDescent="0.2">
      <c r="A31" s="2">
        <v>30</v>
      </c>
      <c r="C31">
        <v>0</v>
      </c>
      <c r="E31">
        <v>2</v>
      </c>
      <c r="G31">
        <v>0</v>
      </c>
      <c r="I31">
        <v>0</v>
      </c>
      <c r="K31">
        <v>0</v>
      </c>
      <c r="M31">
        <v>0</v>
      </c>
      <c r="O31">
        <v>0</v>
      </c>
      <c r="Q31">
        <v>2</v>
      </c>
    </row>
    <row r="32" spans="1:17" x14ac:dyDescent="0.2">
      <c r="A32" s="2">
        <v>31</v>
      </c>
      <c r="C32">
        <v>2</v>
      </c>
      <c r="E32">
        <v>1</v>
      </c>
      <c r="G32">
        <v>1</v>
      </c>
      <c r="I32">
        <v>0</v>
      </c>
      <c r="K32">
        <v>0</v>
      </c>
      <c r="M32">
        <v>1</v>
      </c>
      <c r="O32">
        <v>0</v>
      </c>
      <c r="Q32">
        <v>5</v>
      </c>
    </row>
    <row r="33" spans="1:17" x14ac:dyDescent="0.2">
      <c r="A33" s="2">
        <v>32</v>
      </c>
      <c r="C33">
        <v>2</v>
      </c>
      <c r="E33">
        <v>2</v>
      </c>
      <c r="G33">
        <v>1</v>
      </c>
      <c r="I33">
        <v>2</v>
      </c>
      <c r="K33">
        <v>1</v>
      </c>
      <c r="M33">
        <v>1</v>
      </c>
      <c r="O33">
        <v>1</v>
      </c>
      <c r="Q33">
        <v>10</v>
      </c>
    </row>
    <row r="34" spans="1:17" x14ac:dyDescent="0.2">
      <c r="A34" s="2">
        <v>33</v>
      </c>
      <c r="C34">
        <v>0</v>
      </c>
      <c r="E34">
        <v>0</v>
      </c>
      <c r="G34">
        <v>1</v>
      </c>
      <c r="I34">
        <v>0</v>
      </c>
      <c r="K34">
        <v>0</v>
      </c>
      <c r="M34">
        <v>0</v>
      </c>
      <c r="O34">
        <v>0</v>
      </c>
      <c r="Q34">
        <v>1</v>
      </c>
    </row>
    <row r="35" spans="1:17" x14ac:dyDescent="0.2">
      <c r="A35" s="2">
        <v>34</v>
      </c>
      <c r="C35">
        <v>0</v>
      </c>
      <c r="E35">
        <v>2</v>
      </c>
      <c r="G35">
        <v>0</v>
      </c>
      <c r="I35">
        <v>0</v>
      </c>
      <c r="K35">
        <v>0</v>
      </c>
      <c r="M35">
        <v>2</v>
      </c>
      <c r="O35">
        <v>0</v>
      </c>
      <c r="Q35">
        <v>4</v>
      </c>
    </row>
    <row r="36" spans="1:17" x14ac:dyDescent="0.2">
      <c r="A36" s="2">
        <v>35</v>
      </c>
      <c r="C36">
        <v>0</v>
      </c>
      <c r="E36">
        <v>2</v>
      </c>
      <c r="G36">
        <v>2</v>
      </c>
      <c r="I36">
        <v>0</v>
      </c>
      <c r="K36">
        <v>1</v>
      </c>
      <c r="M36">
        <v>1</v>
      </c>
      <c r="O36">
        <v>0</v>
      </c>
      <c r="Q36">
        <v>6</v>
      </c>
    </row>
    <row r="37" spans="1:17" x14ac:dyDescent="0.2">
      <c r="A37" s="2">
        <v>36</v>
      </c>
      <c r="C37">
        <v>2</v>
      </c>
      <c r="E37">
        <v>2</v>
      </c>
      <c r="G37">
        <v>2</v>
      </c>
      <c r="I37">
        <v>2</v>
      </c>
      <c r="K37">
        <v>0</v>
      </c>
      <c r="M37">
        <v>0</v>
      </c>
      <c r="O37">
        <v>2</v>
      </c>
      <c r="Q37">
        <v>10</v>
      </c>
    </row>
    <row r="38" spans="1:17" x14ac:dyDescent="0.2">
      <c r="A38" s="2">
        <v>37</v>
      </c>
      <c r="C38">
        <v>2</v>
      </c>
      <c r="E38">
        <v>2</v>
      </c>
      <c r="G38">
        <v>2</v>
      </c>
      <c r="I38">
        <v>1</v>
      </c>
      <c r="K38">
        <v>1</v>
      </c>
      <c r="M38">
        <v>1</v>
      </c>
      <c r="O38">
        <v>0</v>
      </c>
      <c r="Q38">
        <v>9</v>
      </c>
    </row>
    <row r="39" spans="1:17" x14ac:dyDescent="0.2">
      <c r="A39" s="2">
        <v>38</v>
      </c>
      <c r="C39">
        <v>2</v>
      </c>
      <c r="E39">
        <v>2</v>
      </c>
      <c r="G39">
        <v>2</v>
      </c>
      <c r="I39">
        <v>0</v>
      </c>
      <c r="K39">
        <v>0</v>
      </c>
      <c r="M39">
        <v>1</v>
      </c>
      <c r="O39">
        <v>0</v>
      </c>
      <c r="Q39">
        <v>7</v>
      </c>
    </row>
    <row r="40" spans="1:17" x14ac:dyDescent="0.2">
      <c r="A40" s="2">
        <v>39</v>
      </c>
      <c r="C40">
        <v>2</v>
      </c>
      <c r="E40">
        <v>2</v>
      </c>
      <c r="G40">
        <v>2</v>
      </c>
      <c r="I40">
        <v>1</v>
      </c>
      <c r="K40">
        <v>0</v>
      </c>
      <c r="M40">
        <v>1</v>
      </c>
      <c r="O40">
        <v>1</v>
      </c>
      <c r="Q40">
        <v>9</v>
      </c>
    </row>
    <row r="41" spans="1:17" x14ac:dyDescent="0.2">
      <c r="A41" s="2">
        <v>40</v>
      </c>
      <c r="C41">
        <v>2</v>
      </c>
      <c r="E41">
        <v>2</v>
      </c>
      <c r="G41">
        <v>1</v>
      </c>
      <c r="I41">
        <v>1</v>
      </c>
      <c r="K41">
        <v>1</v>
      </c>
      <c r="M41">
        <v>0</v>
      </c>
      <c r="O41">
        <v>0</v>
      </c>
      <c r="Q41">
        <v>7</v>
      </c>
    </row>
    <row r="42" spans="1:17" x14ac:dyDescent="0.2">
      <c r="A42" s="2">
        <v>41</v>
      </c>
      <c r="C42">
        <v>0</v>
      </c>
      <c r="E42">
        <v>0</v>
      </c>
      <c r="G42">
        <v>0</v>
      </c>
      <c r="I42">
        <v>0</v>
      </c>
      <c r="K42">
        <v>0</v>
      </c>
      <c r="M42">
        <v>0</v>
      </c>
      <c r="O42">
        <v>0</v>
      </c>
      <c r="Q42">
        <v>0</v>
      </c>
    </row>
    <row r="43" spans="1:17" x14ac:dyDescent="0.2">
      <c r="A43" s="2">
        <v>42</v>
      </c>
      <c r="C43">
        <v>2</v>
      </c>
      <c r="E43">
        <v>2</v>
      </c>
      <c r="G43">
        <v>1</v>
      </c>
      <c r="I43">
        <v>0</v>
      </c>
      <c r="K43">
        <v>0</v>
      </c>
      <c r="M43">
        <v>0</v>
      </c>
      <c r="O43">
        <v>1</v>
      </c>
      <c r="Q43">
        <v>6</v>
      </c>
    </row>
    <row r="44" spans="1:17" x14ac:dyDescent="0.2">
      <c r="A44" s="2">
        <v>43</v>
      </c>
      <c r="C44">
        <v>1</v>
      </c>
      <c r="E44">
        <v>2</v>
      </c>
      <c r="G44">
        <v>1</v>
      </c>
      <c r="I44">
        <v>1</v>
      </c>
      <c r="K44">
        <v>0</v>
      </c>
      <c r="M44">
        <v>0</v>
      </c>
      <c r="O44">
        <v>0</v>
      </c>
      <c r="Q44">
        <v>5</v>
      </c>
    </row>
    <row r="45" spans="1:17" x14ac:dyDescent="0.2">
      <c r="A45" s="2">
        <v>44</v>
      </c>
      <c r="C45">
        <v>2</v>
      </c>
      <c r="E45">
        <v>2</v>
      </c>
      <c r="G45">
        <v>1</v>
      </c>
      <c r="I45">
        <v>2</v>
      </c>
      <c r="K45">
        <v>0</v>
      </c>
      <c r="M45">
        <v>2</v>
      </c>
      <c r="O45">
        <v>2</v>
      </c>
      <c r="Q45">
        <v>11</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19DB5-37F9-2044-963D-6E7C9A80A96F}">
  <dimension ref="A1:R47"/>
  <sheetViews>
    <sheetView topLeftCell="A26" zoomScale="125" workbookViewId="0">
      <selection activeCell="A46" sqref="A46:XFD46"/>
    </sheetView>
  </sheetViews>
  <sheetFormatPr baseColWidth="10" defaultRowHeight="16" x14ac:dyDescent="0.2"/>
  <cols>
    <col min="2" max="2" width="21.5" bestFit="1" customWidth="1"/>
  </cols>
  <sheetData>
    <row r="1" spans="1:18" ht="27" customHeight="1" x14ac:dyDescent="0.35">
      <c r="C1" s="41" t="s">
        <v>534</v>
      </c>
      <c r="D1" s="41"/>
      <c r="E1" s="41"/>
      <c r="F1" s="41"/>
      <c r="G1" s="41"/>
      <c r="H1" s="41"/>
      <c r="I1" s="41"/>
      <c r="J1" s="41"/>
      <c r="K1" s="41"/>
      <c r="L1" s="41"/>
      <c r="M1" s="41"/>
      <c r="N1" s="41"/>
      <c r="O1" s="41"/>
      <c r="P1" s="41"/>
      <c r="Q1" s="41"/>
      <c r="R1" s="41"/>
    </row>
    <row r="2" spans="1:18" ht="16" customHeight="1" x14ac:dyDescent="0.2">
      <c r="A2" t="s">
        <v>541</v>
      </c>
      <c r="B2" s="1" t="s">
        <v>550</v>
      </c>
      <c r="C2" s="42" t="s">
        <v>535</v>
      </c>
      <c r="D2" s="43"/>
      <c r="E2" s="44" t="s">
        <v>238</v>
      </c>
      <c r="F2" s="43"/>
      <c r="G2" s="44" t="s">
        <v>536</v>
      </c>
      <c r="H2" s="43"/>
      <c r="I2" s="44" t="s">
        <v>240</v>
      </c>
      <c r="J2" s="45"/>
      <c r="K2" s="42" t="s">
        <v>241</v>
      </c>
      <c r="L2" s="43"/>
      <c r="M2" s="44" t="s">
        <v>242</v>
      </c>
      <c r="N2" s="43"/>
      <c r="O2" s="44" t="s">
        <v>243</v>
      </c>
      <c r="P2" s="43"/>
      <c r="Q2" s="39" t="s">
        <v>592</v>
      </c>
      <c r="R2" s="40"/>
    </row>
    <row r="3" spans="1:18" ht="102" x14ac:dyDescent="0.2">
      <c r="A3" t="s">
        <v>542</v>
      </c>
      <c r="C3" s="11" t="s">
        <v>537</v>
      </c>
      <c r="D3" s="12" t="s">
        <v>538</v>
      </c>
      <c r="E3" s="14" t="s">
        <v>537</v>
      </c>
      <c r="F3" s="12" t="s">
        <v>538</v>
      </c>
      <c r="G3" s="14" t="s">
        <v>537</v>
      </c>
      <c r="H3" s="12" t="s">
        <v>538</v>
      </c>
      <c r="I3" s="14" t="s">
        <v>537</v>
      </c>
      <c r="J3" s="14" t="s">
        <v>538</v>
      </c>
      <c r="K3" s="11" t="s">
        <v>539</v>
      </c>
      <c r="L3" s="14" t="s">
        <v>540</v>
      </c>
      <c r="M3" s="11" t="s">
        <v>537</v>
      </c>
      <c r="N3" s="14" t="s">
        <v>538</v>
      </c>
      <c r="O3" s="11" t="s">
        <v>537</v>
      </c>
      <c r="P3" s="12" t="s">
        <v>538</v>
      </c>
      <c r="Q3" s="23"/>
      <c r="R3" s="24"/>
    </row>
    <row r="4" spans="1:18" x14ac:dyDescent="0.2">
      <c r="A4">
        <v>1</v>
      </c>
      <c r="B4" t="s">
        <v>7</v>
      </c>
      <c r="C4">
        <v>0</v>
      </c>
      <c r="D4" s="25">
        <v>2</v>
      </c>
      <c r="E4">
        <v>0</v>
      </c>
      <c r="F4" s="25">
        <v>2</v>
      </c>
      <c r="G4">
        <v>0</v>
      </c>
      <c r="H4" s="25">
        <v>2</v>
      </c>
      <c r="I4">
        <v>0</v>
      </c>
      <c r="J4" s="25">
        <v>2</v>
      </c>
      <c r="K4">
        <v>0</v>
      </c>
      <c r="L4" s="25">
        <v>1</v>
      </c>
      <c r="M4">
        <v>0</v>
      </c>
      <c r="N4" s="25">
        <v>1</v>
      </c>
      <c r="O4">
        <v>0</v>
      </c>
      <c r="P4" s="27">
        <v>1</v>
      </c>
      <c r="Q4">
        <f>C4+E4+G4+I4+K4+M4+O4</f>
        <v>0</v>
      </c>
      <c r="R4" s="25">
        <f>D4+F4+H4+J4+L4+N4+P4</f>
        <v>11</v>
      </c>
    </row>
    <row r="5" spans="1:18" x14ac:dyDescent="0.2">
      <c r="A5">
        <v>2</v>
      </c>
      <c r="B5" t="s">
        <v>552</v>
      </c>
      <c r="C5">
        <v>1</v>
      </c>
      <c r="D5" s="25">
        <v>1</v>
      </c>
      <c r="E5">
        <v>1</v>
      </c>
      <c r="F5" s="25">
        <v>1</v>
      </c>
      <c r="G5">
        <v>2</v>
      </c>
      <c r="H5" s="25">
        <v>1</v>
      </c>
      <c r="I5">
        <v>1</v>
      </c>
      <c r="J5" s="25">
        <v>1</v>
      </c>
      <c r="K5">
        <v>0</v>
      </c>
      <c r="L5" s="25">
        <v>0</v>
      </c>
      <c r="M5">
        <v>2</v>
      </c>
      <c r="N5" s="25">
        <v>1</v>
      </c>
      <c r="O5">
        <v>0</v>
      </c>
      <c r="P5" s="25">
        <v>1</v>
      </c>
      <c r="Q5">
        <f t="shared" ref="Q5:Q46" si="0">C5+E5+G5+I5+K5+M5+O5</f>
        <v>7</v>
      </c>
      <c r="R5" s="25">
        <f t="shared" ref="R5:R46" si="1">D5+F5+H5+J5+L5+N5+P5</f>
        <v>6</v>
      </c>
    </row>
    <row r="6" spans="1:18" x14ac:dyDescent="0.2">
      <c r="A6">
        <v>3</v>
      </c>
      <c r="B6" t="s">
        <v>554</v>
      </c>
      <c r="C6">
        <v>2</v>
      </c>
      <c r="D6" s="25">
        <v>2</v>
      </c>
      <c r="E6">
        <v>1</v>
      </c>
      <c r="F6" s="25">
        <v>1</v>
      </c>
      <c r="G6">
        <v>1</v>
      </c>
      <c r="H6" s="25">
        <v>1</v>
      </c>
      <c r="I6">
        <v>1</v>
      </c>
      <c r="J6" s="25">
        <v>1</v>
      </c>
      <c r="K6">
        <v>0</v>
      </c>
      <c r="L6" s="25">
        <v>1</v>
      </c>
      <c r="M6">
        <v>1</v>
      </c>
      <c r="N6" s="25">
        <v>1</v>
      </c>
      <c r="O6">
        <v>0</v>
      </c>
      <c r="P6" s="25">
        <v>1</v>
      </c>
      <c r="Q6">
        <f t="shared" si="0"/>
        <v>6</v>
      </c>
      <c r="R6" s="25">
        <f t="shared" si="1"/>
        <v>8</v>
      </c>
    </row>
    <row r="7" spans="1:18" x14ac:dyDescent="0.2">
      <c r="A7">
        <v>4</v>
      </c>
      <c r="B7" t="s">
        <v>26</v>
      </c>
      <c r="C7">
        <v>0</v>
      </c>
      <c r="D7" s="25">
        <v>0</v>
      </c>
      <c r="E7">
        <v>0</v>
      </c>
      <c r="F7" s="25">
        <v>0</v>
      </c>
      <c r="G7">
        <v>0</v>
      </c>
      <c r="H7" s="25">
        <v>0</v>
      </c>
      <c r="I7">
        <v>0</v>
      </c>
      <c r="J7" s="25">
        <v>0</v>
      </c>
      <c r="K7">
        <v>0</v>
      </c>
      <c r="L7" s="25">
        <v>0</v>
      </c>
      <c r="M7">
        <v>0</v>
      </c>
      <c r="N7" s="25">
        <v>0</v>
      </c>
      <c r="O7">
        <v>0</v>
      </c>
      <c r="P7" s="25">
        <v>0</v>
      </c>
      <c r="Q7">
        <f t="shared" si="0"/>
        <v>0</v>
      </c>
      <c r="R7" s="25">
        <f t="shared" si="1"/>
        <v>0</v>
      </c>
    </row>
    <row r="8" spans="1:18" x14ac:dyDescent="0.2">
      <c r="A8">
        <v>5</v>
      </c>
      <c r="B8" t="s">
        <v>32</v>
      </c>
      <c r="C8">
        <v>1</v>
      </c>
      <c r="D8" s="25">
        <v>1</v>
      </c>
      <c r="E8">
        <v>0</v>
      </c>
      <c r="F8" s="25">
        <v>1</v>
      </c>
      <c r="G8">
        <v>1</v>
      </c>
      <c r="H8" s="25">
        <v>1</v>
      </c>
      <c r="I8">
        <v>1</v>
      </c>
      <c r="J8" s="25">
        <v>1</v>
      </c>
      <c r="K8">
        <v>0</v>
      </c>
      <c r="L8" s="25">
        <v>1</v>
      </c>
      <c r="M8">
        <v>1</v>
      </c>
      <c r="N8" s="25">
        <v>1</v>
      </c>
      <c r="O8">
        <v>0</v>
      </c>
      <c r="P8" s="25">
        <v>1</v>
      </c>
      <c r="Q8">
        <f t="shared" si="0"/>
        <v>4</v>
      </c>
      <c r="R8" s="25">
        <f t="shared" si="1"/>
        <v>7</v>
      </c>
    </row>
    <row r="9" spans="1:18" x14ac:dyDescent="0.2">
      <c r="A9">
        <v>6</v>
      </c>
      <c r="B9" s="18" t="s">
        <v>37</v>
      </c>
      <c r="C9">
        <v>1</v>
      </c>
      <c r="D9" s="25">
        <v>1</v>
      </c>
      <c r="E9">
        <v>1</v>
      </c>
      <c r="F9" s="25">
        <v>1</v>
      </c>
      <c r="G9">
        <v>2</v>
      </c>
      <c r="H9" s="25">
        <v>2</v>
      </c>
      <c r="I9">
        <v>1</v>
      </c>
      <c r="J9" s="25">
        <v>1</v>
      </c>
      <c r="K9">
        <v>2</v>
      </c>
      <c r="L9" s="25">
        <v>2</v>
      </c>
      <c r="M9">
        <v>1</v>
      </c>
      <c r="N9" s="25">
        <v>1</v>
      </c>
      <c r="O9">
        <v>1</v>
      </c>
      <c r="P9" s="25">
        <v>0</v>
      </c>
      <c r="Q9">
        <f t="shared" si="0"/>
        <v>9</v>
      </c>
      <c r="R9" s="25">
        <f t="shared" si="1"/>
        <v>8</v>
      </c>
    </row>
    <row r="10" spans="1:18" x14ac:dyDescent="0.2">
      <c r="A10">
        <v>7</v>
      </c>
      <c r="B10" t="s">
        <v>558</v>
      </c>
      <c r="C10">
        <v>0</v>
      </c>
      <c r="D10" s="25">
        <v>1</v>
      </c>
      <c r="E10">
        <v>0</v>
      </c>
      <c r="F10" s="25">
        <v>2</v>
      </c>
      <c r="G10">
        <v>0</v>
      </c>
      <c r="H10" s="25">
        <v>1</v>
      </c>
      <c r="I10">
        <v>0</v>
      </c>
      <c r="J10" s="25">
        <v>2</v>
      </c>
      <c r="K10">
        <v>0</v>
      </c>
      <c r="L10" s="25">
        <v>1</v>
      </c>
      <c r="M10">
        <v>0</v>
      </c>
      <c r="N10" s="25">
        <v>1</v>
      </c>
      <c r="O10">
        <v>0</v>
      </c>
      <c r="P10" s="25">
        <v>1</v>
      </c>
      <c r="Q10">
        <f t="shared" si="0"/>
        <v>0</v>
      </c>
      <c r="R10" s="25">
        <f t="shared" si="1"/>
        <v>9</v>
      </c>
    </row>
    <row r="11" spans="1:18" x14ac:dyDescent="0.2">
      <c r="A11">
        <v>8</v>
      </c>
      <c r="B11" t="s">
        <v>566</v>
      </c>
      <c r="C11">
        <v>0</v>
      </c>
      <c r="D11" s="25">
        <v>0</v>
      </c>
      <c r="E11">
        <v>2</v>
      </c>
      <c r="F11" s="25">
        <v>1</v>
      </c>
      <c r="G11">
        <v>1</v>
      </c>
      <c r="H11" s="25">
        <v>1</v>
      </c>
      <c r="I11">
        <v>0</v>
      </c>
      <c r="J11" s="25">
        <v>0</v>
      </c>
      <c r="K11">
        <v>0</v>
      </c>
      <c r="L11" s="26">
        <v>0</v>
      </c>
      <c r="M11">
        <v>0</v>
      </c>
      <c r="N11" s="25">
        <v>0</v>
      </c>
      <c r="O11">
        <v>0</v>
      </c>
      <c r="P11" s="25">
        <v>0</v>
      </c>
      <c r="Q11">
        <f t="shared" si="0"/>
        <v>3</v>
      </c>
      <c r="R11" s="25">
        <f t="shared" si="1"/>
        <v>2</v>
      </c>
    </row>
    <row r="12" spans="1:18" x14ac:dyDescent="0.2">
      <c r="A12">
        <v>9</v>
      </c>
      <c r="B12" s="18" t="s">
        <v>559</v>
      </c>
      <c r="C12">
        <v>1</v>
      </c>
      <c r="D12" s="25">
        <v>1</v>
      </c>
      <c r="E12">
        <v>2</v>
      </c>
      <c r="F12" s="25">
        <v>2</v>
      </c>
      <c r="G12">
        <v>1</v>
      </c>
      <c r="H12" s="25">
        <v>1</v>
      </c>
      <c r="I12">
        <v>0</v>
      </c>
      <c r="J12" s="25">
        <v>0</v>
      </c>
      <c r="K12">
        <v>0</v>
      </c>
      <c r="L12" s="25">
        <v>0</v>
      </c>
      <c r="M12">
        <v>0</v>
      </c>
      <c r="N12" s="25">
        <v>0</v>
      </c>
      <c r="O12">
        <v>0</v>
      </c>
      <c r="P12" s="25">
        <v>0</v>
      </c>
      <c r="Q12">
        <f t="shared" si="0"/>
        <v>4</v>
      </c>
      <c r="R12" s="25">
        <f t="shared" si="1"/>
        <v>4</v>
      </c>
    </row>
    <row r="13" spans="1:18" x14ac:dyDescent="0.2">
      <c r="A13">
        <v>10</v>
      </c>
      <c r="B13" t="s">
        <v>561</v>
      </c>
      <c r="C13">
        <v>1</v>
      </c>
      <c r="D13" s="25">
        <v>1</v>
      </c>
      <c r="E13">
        <v>2</v>
      </c>
      <c r="F13" s="25">
        <v>2</v>
      </c>
      <c r="G13">
        <v>1</v>
      </c>
      <c r="H13" s="25">
        <v>1</v>
      </c>
      <c r="I13">
        <v>1</v>
      </c>
      <c r="J13" s="25">
        <v>1</v>
      </c>
      <c r="K13">
        <v>1</v>
      </c>
      <c r="L13" s="25">
        <v>1</v>
      </c>
      <c r="M13">
        <v>0</v>
      </c>
      <c r="N13" s="25">
        <v>0</v>
      </c>
      <c r="O13">
        <v>1</v>
      </c>
      <c r="P13" s="25">
        <v>1</v>
      </c>
      <c r="Q13">
        <f t="shared" si="0"/>
        <v>7</v>
      </c>
      <c r="R13" s="25">
        <f t="shared" si="1"/>
        <v>7</v>
      </c>
    </row>
    <row r="14" spans="1:18" x14ac:dyDescent="0.2">
      <c r="A14">
        <v>11</v>
      </c>
      <c r="B14" s="18" t="s">
        <v>562</v>
      </c>
      <c r="C14">
        <v>1</v>
      </c>
      <c r="D14" s="25">
        <v>1</v>
      </c>
      <c r="E14">
        <v>2</v>
      </c>
      <c r="F14" s="25">
        <v>1</v>
      </c>
      <c r="G14">
        <v>2</v>
      </c>
      <c r="H14" s="25">
        <v>2</v>
      </c>
      <c r="I14">
        <v>1</v>
      </c>
      <c r="J14" s="25">
        <v>1</v>
      </c>
      <c r="K14">
        <v>0</v>
      </c>
      <c r="L14" s="25">
        <v>0</v>
      </c>
      <c r="M14">
        <v>2</v>
      </c>
      <c r="N14" s="25">
        <v>2</v>
      </c>
      <c r="O14">
        <v>0</v>
      </c>
      <c r="P14" s="25">
        <v>0</v>
      </c>
      <c r="Q14">
        <f t="shared" si="0"/>
        <v>8</v>
      </c>
      <c r="R14" s="25">
        <f t="shared" si="1"/>
        <v>7</v>
      </c>
    </row>
    <row r="15" spans="1:18" x14ac:dyDescent="0.2">
      <c r="A15">
        <v>12</v>
      </c>
      <c r="B15" t="s">
        <v>85</v>
      </c>
      <c r="C15">
        <v>1</v>
      </c>
      <c r="D15" s="25">
        <v>1</v>
      </c>
      <c r="E15">
        <v>2</v>
      </c>
      <c r="F15" s="25">
        <v>1</v>
      </c>
      <c r="G15">
        <v>2</v>
      </c>
      <c r="H15" s="25">
        <v>1</v>
      </c>
      <c r="I15">
        <v>1</v>
      </c>
      <c r="J15" s="25">
        <v>1</v>
      </c>
      <c r="K15">
        <v>0</v>
      </c>
      <c r="L15" s="25">
        <v>0</v>
      </c>
      <c r="M15">
        <v>0</v>
      </c>
      <c r="N15" s="25">
        <v>0</v>
      </c>
      <c r="O15">
        <v>0</v>
      </c>
      <c r="P15" s="25">
        <v>0</v>
      </c>
      <c r="Q15">
        <f t="shared" si="0"/>
        <v>6</v>
      </c>
      <c r="R15" s="25">
        <f t="shared" si="1"/>
        <v>4</v>
      </c>
    </row>
    <row r="16" spans="1:18" x14ac:dyDescent="0.2">
      <c r="A16">
        <v>13</v>
      </c>
      <c r="B16" t="s">
        <v>81</v>
      </c>
      <c r="C16">
        <v>1</v>
      </c>
      <c r="D16" s="25">
        <v>1</v>
      </c>
      <c r="E16">
        <v>1</v>
      </c>
      <c r="F16" s="25">
        <v>1</v>
      </c>
      <c r="G16">
        <v>1</v>
      </c>
      <c r="H16" s="25">
        <v>1</v>
      </c>
      <c r="I16">
        <v>0</v>
      </c>
      <c r="J16" s="25">
        <v>0</v>
      </c>
      <c r="K16">
        <v>0</v>
      </c>
      <c r="L16" s="25">
        <v>0</v>
      </c>
      <c r="M16">
        <v>0</v>
      </c>
      <c r="N16" s="25">
        <v>0</v>
      </c>
      <c r="O16">
        <v>0</v>
      </c>
      <c r="P16" s="25">
        <v>0</v>
      </c>
      <c r="Q16">
        <f t="shared" si="0"/>
        <v>3</v>
      </c>
      <c r="R16" s="25">
        <f t="shared" si="1"/>
        <v>3</v>
      </c>
    </row>
    <row r="17" spans="1:18" x14ac:dyDescent="0.2">
      <c r="A17">
        <v>14</v>
      </c>
      <c r="B17" t="s">
        <v>84</v>
      </c>
      <c r="C17">
        <v>1</v>
      </c>
      <c r="D17" s="25">
        <v>1</v>
      </c>
      <c r="E17">
        <v>1</v>
      </c>
      <c r="F17" s="25">
        <v>1</v>
      </c>
      <c r="G17">
        <v>1</v>
      </c>
      <c r="H17" s="25">
        <v>1</v>
      </c>
      <c r="I17">
        <v>0</v>
      </c>
      <c r="J17" s="25">
        <v>0</v>
      </c>
      <c r="K17">
        <v>0</v>
      </c>
      <c r="L17" s="25">
        <v>0</v>
      </c>
      <c r="M17">
        <v>0</v>
      </c>
      <c r="N17" s="25">
        <v>0</v>
      </c>
      <c r="O17">
        <v>0</v>
      </c>
      <c r="P17" s="25">
        <v>0</v>
      </c>
      <c r="Q17">
        <f t="shared" si="0"/>
        <v>3</v>
      </c>
      <c r="R17" s="25">
        <f t="shared" si="1"/>
        <v>3</v>
      </c>
    </row>
    <row r="18" spans="1:18" x14ac:dyDescent="0.2">
      <c r="A18">
        <v>15</v>
      </c>
      <c r="B18" s="19" t="s">
        <v>232</v>
      </c>
      <c r="C18">
        <v>0</v>
      </c>
      <c r="D18" s="25">
        <v>0</v>
      </c>
      <c r="E18">
        <v>2</v>
      </c>
      <c r="F18" s="25">
        <v>1</v>
      </c>
      <c r="G18">
        <v>2</v>
      </c>
      <c r="H18" s="25">
        <v>1</v>
      </c>
      <c r="I18">
        <v>0</v>
      </c>
      <c r="J18" s="25">
        <v>0</v>
      </c>
      <c r="K18">
        <v>0</v>
      </c>
      <c r="L18" s="25">
        <v>0</v>
      </c>
      <c r="M18">
        <v>0</v>
      </c>
      <c r="N18" s="25">
        <v>0</v>
      </c>
      <c r="O18">
        <v>0</v>
      </c>
      <c r="P18" s="25">
        <v>0</v>
      </c>
      <c r="Q18">
        <f t="shared" si="0"/>
        <v>4</v>
      </c>
      <c r="R18" s="25">
        <f t="shared" si="1"/>
        <v>2</v>
      </c>
    </row>
    <row r="19" spans="1:18" x14ac:dyDescent="0.2">
      <c r="A19">
        <v>16</v>
      </c>
      <c r="B19" t="s">
        <v>21</v>
      </c>
      <c r="C19">
        <v>2</v>
      </c>
      <c r="D19" s="25">
        <v>1</v>
      </c>
      <c r="E19">
        <v>2</v>
      </c>
      <c r="F19" s="25">
        <v>1</v>
      </c>
      <c r="G19">
        <v>1</v>
      </c>
      <c r="H19" s="25">
        <v>1</v>
      </c>
      <c r="I19">
        <v>0</v>
      </c>
      <c r="J19" s="25">
        <v>0</v>
      </c>
      <c r="K19">
        <v>0</v>
      </c>
      <c r="L19" s="25">
        <v>0</v>
      </c>
      <c r="M19">
        <v>0</v>
      </c>
      <c r="N19" s="25">
        <v>0</v>
      </c>
      <c r="O19">
        <v>0</v>
      </c>
      <c r="P19" s="25">
        <v>0</v>
      </c>
      <c r="Q19">
        <f t="shared" si="0"/>
        <v>5</v>
      </c>
      <c r="R19" s="25">
        <f t="shared" si="1"/>
        <v>3</v>
      </c>
    </row>
    <row r="20" spans="1:18" x14ac:dyDescent="0.2">
      <c r="A20">
        <v>17</v>
      </c>
      <c r="B20" t="s">
        <v>99</v>
      </c>
      <c r="C20">
        <v>0</v>
      </c>
      <c r="D20" s="25">
        <v>0</v>
      </c>
      <c r="E20">
        <v>2</v>
      </c>
      <c r="F20" s="25">
        <v>1</v>
      </c>
      <c r="G20">
        <v>2</v>
      </c>
      <c r="H20" s="25">
        <v>1</v>
      </c>
      <c r="I20">
        <v>1</v>
      </c>
      <c r="J20" s="25">
        <v>0</v>
      </c>
      <c r="K20">
        <v>0</v>
      </c>
      <c r="L20" s="25">
        <v>0</v>
      </c>
      <c r="M20">
        <v>0</v>
      </c>
      <c r="N20" s="25">
        <v>0</v>
      </c>
      <c r="O20">
        <v>0</v>
      </c>
      <c r="P20" s="25">
        <v>0</v>
      </c>
      <c r="Q20">
        <f t="shared" si="0"/>
        <v>5</v>
      </c>
      <c r="R20" s="25">
        <f t="shared" si="1"/>
        <v>2</v>
      </c>
    </row>
    <row r="21" spans="1:18" x14ac:dyDescent="0.2">
      <c r="A21">
        <v>18</v>
      </c>
      <c r="B21" t="s">
        <v>105</v>
      </c>
      <c r="C21">
        <v>1</v>
      </c>
      <c r="D21" s="25">
        <v>1</v>
      </c>
      <c r="E21">
        <v>0</v>
      </c>
      <c r="F21" s="25">
        <v>0</v>
      </c>
      <c r="G21">
        <v>0</v>
      </c>
      <c r="H21" s="25">
        <v>0</v>
      </c>
      <c r="I21">
        <v>0</v>
      </c>
      <c r="J21" s="25">
        <v>0</v>
      </c>
      <c r="K21">
        <v>0</v>
      </c>
      <c r="L21" s="25">
        <v>0</v>
      </c>
      <c r="M21">
        <v>0</v>
      </c>
      <c r="N21" s="25">
        <v>0</v>
      </c>
      <c r="O21">
        <v>0</v>
      </c>
      <c r="P21" s="25">
        <v>0</v>
      </c>
      <c r="Q21">
        <f t="shared" si="0"/>
        <v>1</v>
      </c>
      <c r="R21" s="25">
        <f t="shared" si="1"/>
        <v>1</v>
      </c>
    </row>
    <row r="22" spans="1:18" x14ac:dyDescent="0.2">
      <c r="A22">
        <v>19</v>
      </c>
      <c r="B22" t="s">
        <v>108</v>
      </c>
      <c r="C22">
        <v>2</v>
      </c>
      <c r="D22" s="25">
        <v>1</v>
      </c>
      <c r="E22">
        <v>2</v>
      </c>
      <c r="F22" s="25">
        <v>1</v>
      </c>
      <c r="G22">
        <v>2</v>
      </c>
      <c r="H22" s="25">
        <v>2</v>
      </c>
      <c r="I22">
        <v>1</v>
      </c>
      <c r="J22" s="25">
        <v>1</v>
      </c>
      <c r="K22">
        <v>0</v>
      </c>
      <c r="L22" s="25">
        <v>1</v>
      </c>
      <c r="M22">
        <v>1</v>
      </c>
      <c r="N22" s="25">
        <v>1</v>
      </c>
      <c r="O22">
        <v>0</v>
      </c>
      <c r="P22" s="25">
        <v>1</v>
      </c>
      <c r="Q22">
        <f t="shared" si="0"/>
        <v>8</v>
      </c>
      <c r="R22" s="25">
        <f t="shared" si="1"/>
        <v>8</v>
      </c>
    </row>
    <row r="23" spans="1:18" x14ac:dyDescent="0.2">
      <c r="A23">
        <v>20</v>
      </c>
      <c r="B23" t="s">
        <v>111</v>
      </c>
      <c r="C23">
        <v>1</v>
      </c>
      <c r="D23" s="25">
        <v>1</v>
      </c>
      <c r="E23">
        <v>1</v>
      </c>
      <c r="F23" s="25">
        <v>1</v>
      </c>
      <c r="G23">
        <v>2</v>
      </c>
      <c r="H23" s="25">
        <v>1</v>
      </c>
      <c r="I23">
        <v>1</v>
      </c>
      <c r="J23" s="25">
        <v>1</v>
      </c>
      <c r="K23">
        <v>0</v>
      </c>
      <c r="L23" s="25">
        <v>0</v>
      </c>
      <c r="M23">
        <v>0</v>
      </c>
      <c r="N23" s="25">
        <v>0</v>
      </c>
      <c r="O23">
        <v>0</v>
      </c>
      <c r="P23" s="25">
        <v>0</v>
      </c>
      <c r="Q23">
        <f t="shared" si="0"/>
        <v>5</v>
      </c>
      <c r="R23" s="25">
        <f t="shared" si="1"/>
        <v>4</v>
      </c>
    </row>
    <row r="24" spans="1:18" x14ac:dyDescent="0.2">
      <c r="A24">
        <v>21</v>
      </c>
      <c r="B24" t="s">
        <v>112</v>
      </c>
      <c r="C24">
        <v>1</v>
      </c>
      <c r="D24" s="25">
        <v>2</v>
      </c>
      <c r="E24">
        <v>1</v>
      </c>
      <c r="F24" s="25">
        <v>2</v>
      </c>
      <c r="G24">
        <v>2</v>
      </c>
      <c r="H24" s="25">
        <v>2</v>
      </c>
      <c r="I24">
        <v>0</v>
      </c>
      <c r="J24" s="25">
        <v>2</v>
      </c>
      <c r="K24">
        <v>0</v>
      </c>
      <c r="L24" s="25">
        <v>1</v>
      </c>
      <c r="M24">
        <v>0</v>
      </c>
      <c r="N24" s="25">
        <v>1</v>
      </c>
      <c r="O24">
        <v>1</v>
      </c>
      <c r="P24" s="25">
        <v>1</v>
      </c>
      <c r="Q24">
        <f t="shared" si="0"/>
        <v>5</v>
      </c>
      <c r="R24" s="25">
        <f t="shared" si="1"/>
        <v>11</v>
      </c>
    </row>
    <row r="25" spans="1:18" x14ac:dyDescent="0.2">
      <c r="A25">
        <v>22</v>
      </c>
      <c r="B25" s="18" t="s">
        <v>575</v>
      </c>
      <c r="C25">
        <v>1</v>
      </c>
      <c r="D25" s="25">
        <v>1</v>
      </c>
      <c r="E25">
        <v>1</v>
      </c>
      <c r="F25" s="25">
        <v>1</v>
      </c>
      <c r="G25">
        <v>1</v>
      </c>
      <c r="H25" s="25">
        <v>1</v>
      </c>
      <c r="I25">
        <v>1</v>
      </c>
      <c r="J25" s="25">
        <v>1</v>
      </c>
      <c r="K25">
        <v>0</v>
      </c>
      <c r="L25" s="25">
        <v>0</v>
      </c>
      <c r="M25">
        <v>0</v>
      </c>
      <c r="N25" s="25">
        <v>0</v>
      </c>
      <c r="O25">
        <v>0</v>
      </c>
      <c r="P25" s="25">
        <v>0</v>
      </c>
      <c r="Q25">
        <f t="shared" si="0"/>
        <v>4</v>
      </c>
      <c r="R25" s="25">
        <f t="shared" si="1"/>
        <v>4</v>
      </c>
    </row>
    <row r="26" spans="1:18" x14ac:dyDescent="0.2">
      <c r="A26">
        <v>23</v>
      </c>
      <c r="B26" t="s">
        <v>116</v>
      </c>
      <c r="C26">
        <v>0</v>
      </c>
      <c r="D26" s="25">
        <v>1</v>
      </c>
      <c r="E26">
        <v>0</v>
      </c>
      <c r="F26" s="25">
        <v>1</v>
      </c>
      <c r="G26">
        <v>0</v>
      </c>
      <c r="H26" s="25">
        <v>2</v>
      </c>
      <c r="I26">
        <v>0</v>
      </c>
      <c r="J26" s="25">
        <v>1</v>
      </c>
      <c r="K26">
        <v>0</v>
      </c>
      <c r="L26" s="25">
        <v>1</v>
      </c>
      <c r="M26">
        <v>0</v>
      </c>
      <c r="N26" s="25">
        <v>0</v>
      </c>
      <c r="O26">
        <v>0</v>
      </c>
      <c r="P26" s="25">
        <v>1</v>
      </c>
      <c r="Q26">
        <f t="shared" si="0"/>
        <v>0</v>
      </c>
      <c r="R26" s="25">
        <f t="shared" si="1"/>
        <v>7</v>
      </c>
    </row>
    <row r="27" spans="1:18" x14ac:dyDescent="0.2">
      <c r="A27">
        <v>24</v>
      </c>
      <c r="B27" s="2" t="s">
        <v>96</v>
      </c>
      <c r="C27">
        <v>2</v>
      </c>
      <c r="D27" s="25">
        <v>1</v>
      </c>
      <c r="E27">
        <v>2</v>
      </c>
      <c r="F27" s="25">
        <v>1</v>
      </c>
      <c r="G27">
        <v>2</v>
      </c>
      <c r="H27" s="25">
        <v>1</v>
      </c>
      <c r="I27">
        <v>1</v>
      </c>
      <c r="J27" s="25">
        <v>2</v>
      </c>
      <c r="K27">
        <v>0</v>
      </c>
      <c r="L27" s="25">
        <v>1</v>
      </c>
      <c r="M27">
        <v>0</v>
      </c>
      <c r="N27" s="25">
        <v>0</v>
      </c>
      <c r="O27">
        <v>1</v>
      </c>
      <c r="P27" s="25">
        <v>1</v>
      </c>
      <c r="Q27">
        <f t="shared" si="0"/>
        <v>8</v>
      </c>
      <c r="R27" s="25">
        <f t="shared" si="1"/>
        <v>7</v>
      </c>
    </row>
    <row r="28" spans="1:18" x14ac:dyDescent="0.2">
      <c r="A28">
        <v>25</v>
      </c>
      <c r="B28" t="s">
        <v>88</v>
      </c>
      <c r="C28">
        <v>0</v>
      </c>
      <c r="D28" s="25">
        <v>0</v>
      </c>
      <c r="E28">
        <v>0</v>
      </c>
      <c r="F28" s="25">
        <v>0</v>
      </c>
      <c r="G28">
        <v>0</v>
      </c>
      <c r="H28" s="25">
        <v>0</v>
      </c>
      <c r="I28">
        <v>0</v>
      </c>
      <c r="J28" s="25">
        <v>0</v>
      </c>
      <c r="K28">
        <v>0</v>
      </c>
      <c r="L28" s="25">
        <v>0</v>
      </c>
      <c r="M28">
        <v>0</v>
      </c>
      <c r="N28" s="25">
        <v>0</v>
      </c>
      <c r="O28">
        <v>0</v>
      </c>
      <c r="P28" s="25">
        <v>0</v>
      </c>
      <c r="Q28">
        <f t="shared" si="0"/>
        <v>0</v>
      </c>
      <c r="R28" s="25">
        <f t="shared" si="1"/>
        <v>0</v>
      </c>
    </row>
    <row r="29" spans="1:18" x14ac:dyDescent="0.2">
      <c r="A29">
        <v>26</v>
      </c>
      <c r="B29" s="19" t="s">
        <v>78</v>
      </c>
      <c r="C29">
        <v>1</v>
      </c>
      <c r="D29" s="25">
        <v>2</v>
      </c>
      <c r="E29">
        <v>0</v>
      </c>
      <c r="F29" s="25">
        <v>1</v>
      </c>
      <c r="G29">
        <v>2</v>
      </c>
      <c r="H29" s="25">
        <v>2</v>
      </c>
      <c r="I29">
        <v>0</v>
      </c>
      <c r="J29" s="25">
        <v>2</v>
      </c>
      <c r="K29">
        <v>0</v>
      </c>
      <c r="L29" s="25">
        <v>1</v>
      </c>
      <c r="M29">
        <v>0</v>
      </c>
      <c r="N29" s="25">
        <v>0</v>
      </c>
      <c r="O29">
        <v>0</v>
      </c>
      <c r="P29" s="25">
        <v>1</v>
      </c>
      <c r="Q29">
        <f t="shared" si="0"/>
        <v>3</v>
      </c>
      <c r="R29" s="25">
        <f t="shared" si="1"/>
        <v>9</v>
      </c>
    </row>
    <row r="30" spans="1:18" x14ac:dyDescent="0.2">
      <c r="A30">
        <v>27</v>
      </c>
      <c r="B30" t="s">
        <v>68</v>
      </c>
      <c r="C30">
        <v>0</v>
      </c>
      <c r="D30" s="25">
        <v>0</v>
      </c>
      <c r="E30">
        <v>1</v>
      </c>
      <c r="F30" s="25">
        <v>1</v>
      </c>
      <c r="G30">
        <v>1</v>
      </c>
      <c r="H30" s="25">
        <v>1</v>
      </c>
      <c r="I30">
        <v>0</v>
      </c>
      <c r="J30" s="25">
        <v>0</v>
      </c>
      <c r="K30">
        <v>0</v>
      </c>
      <c r="L30" s="25">
        <v>0</v>
      </c>
      <c r="M30">
        <v>0</v>
      </c>
      <c r="N30" s="25">
        <v>0</v>
      </c>
      <c r="O30">
        <v>0</v>
      </c>
      <c r="P30" s="25">
        <v>0</v>
      </c>
      <c r="Q30">
        <f t="shared" si="0"/>
        <v>2</v>
      </c>
      <c r="R30" s="25">
        <f t="shared" si="1"/>
        <v>2</v>
      </c>
    </row>
    <row r="31" spans="1:18" x14ac:dyDescent="0.2">
      <c r="A31">
        <v>28</v>
      </c>
      <c r="B31" t="s">
        <v>147</v>
      </c>
      <c r="C31">
        <v>0</v>
      </c>
      <c r="D31" s="25">
        <v>0</v>
      </c>
      <c r="E31">
        <v>1</v>
      </c>
      <c r="F31" s="25">
        <v>1</v>
      </c>
      <c r="G31">
        <v>2</v>
      </c>
      <c r="H31" s="25">
        <v>1</v>
      </c>
      <c r="I31">
        <v>0</v>
      </c>
      <c r="J31" s="25">
        <v>0</v>
      </c>
      <c r="K31">
        <v>0</v>
      </c>
      <c r="L31" s="25">
        <v>0</v>
      </c>
      <c r="M31">
        <v>0</v>
      </c>
      <c r="N31" s="25">
        <v>0</v>
      </c>
      <c r="O31">
        <v>0</v>
      </c>
      <c r="P31" s="25">
        <v>0</v>
      </c>
      <c r="Q31">
        <f t="shared" si="0"/>
        <v>3</v>
      </c>
      <c r="R31" s="25">
        <f t="shared" si="1"/>
        <v>2</v>
      </c>
    </row>
    <row r="32" spans="1:18" x14ac:dyDescent="0.2">
      <c r="A32">
        <v>29</v>
      </c>
      <c r="B32" t="s">
        <v>150</v>
      </c>
      <c r="C32">
        <v>1</v>
      </c>
      <c r="D32" s="25">
        <v>1</v>
      </c>
      <c r="E32">
        <v>1</v>
      </c>
      <c r="F32" s="25">
        <v>1</v>
      </c>
      <c r="G32">
        <v>2</v>
      </c>
      <c r="H32" s="25">
        <v>1</v>
      </c>
      <c r="I32">
        <v>0</v>
      </c>
      <c r="J32" s="25">
        <v>0</v>
      </c>
      <c r="K32">
        <v>0</v>
      </c>
      <c r="L32" s="25">
        <v>1</v>
      </c>
      <c r="M32">
        <v>0</v>
      </c>
      <c r="N32" s="25">
        <v>0</v>
      </c>
      <c r="O32">
        <v>0</v>
      </c>
      <c r="P32" s="25">
        <v>0</v>
      </c>
      <c r="Q32">
        <f t="shared" si="0"/>
        <v>4</v>
      </c>
      <c r="R32" s="25">
        <f t="shared" si="1"/>
        <v>4</v>
      </c>
    </row>
    <row r="33" spans="1:18" x14ac:dyDescent="0.2">
      <c r="A33">
        <v>30</v>
      </c>
      <c r="B33" t="s">
        <v>292</v>
      </c>
      <c r="C33">
        <v>1</v>
      </c>
      <c r="D33" s="25">
        <v>1</v>
      </c>
      <c r="E33">
        <v>0</v>
      </c>
      <c r="F33" s="25">
        <v>0</v>
      </c>
      <c r="G33">
        <v>1</v>
      </c>
      <c r="H33" s="25">
        <v>1</v>
      </c>
      <c r="I33">
        <v>0</v>
      </c>
      <c r="J33" s="25">
        <v>0</v>
      </c>
      <c r="K33">
        <v>0</v>
      </c>
      <c r="L33" s="25">
        <v>0</v>
      </c>
      <c r="M33">
        <v>0</v>
      </c>
      <c r="N33" s="25">
        <v>0</v>
      </c>
      <c r="O33">
        <v>0</v>
      </c>
      <c r="P33" s="25">
        <v>0</v>
      </c>
      <c r="Q33">
        <f t="shared" si="0"/>
        <v>2</v>
      </c>
      <c r="R33" s="25">
        <f t="shared" si="1"/>
        <v>2</v>
      </c>
    </row>
    <row r="34" spans="1:18" x14ac:dyDescent="0.2">
      <c r="A34">
        <v>31</v>
      </c>
      <c r="B34" s="2" t="s">
        <v>235</v>
      </c>
      <c r="C34">
        <v>1</v>
      </c>
      <c r="D34" s="25">
        <v>1</v>
      </c>
      <c r="E34">
        <v>1</v>
      </c>
      <c r="F34" s="25">
        <v>1</v>
      </c>
      <c r="G34">
        <v>1</v>
      </c>
      <c r="H34" s="25">
        <v>1</v>
      </c>
      <c r="I34">
        <v>1</v>
      </c>
      <c r="J34" s="25">
        <v>1</v>
      </c>
      <c r="K34">
        <v>0</v>
      </c>
      <c r="L34" s="25">
        <v>0</v>
      </c>
      <c r="M34">
        <v>0</v>
      </c>
      <c r="N34" s="25">
        <v>0</v>
      </c>
      <c r="O34">
        <v>0</v>
      </c>
      <c r="P34" s="25">
        <v>0</v>
      </c>
      <c r="Q34">
        <f t="shared" si="0"/>
        <v>4</v>
      </c>
      <c r="R34" s="25">
        <f t="shared" si="1"/>
        <v>4</v>
      </c>
    </row>
    <row r="35" spans="1:18" x14ac:dyDescent="0.2">
      <c r="A35">
        <v>32</v>
      </c>
      <c r="B35" t="s">
        <v>137</v>
      </c>
      <c r="C35">
        <v>0</v>
      </c>
      <c r="D35" s="25">
        <v>0</v>
      </c>
      <c r="E35">
        <v>0</v>
      </c>
      <c r="F35" s="25">
        <v>0</v>
      </c>
      <c r="G35">
        <v>0</v>
      </c>
      <c r="H35" s="25">
        <v>0</v>
      </c>
      <c r="I35">
        <v>0</v>
      </c>
      <c r="J35" s="25">
        <v>0</v>
      </c>
      <c r="K35">
        <v>0</v>
      </c>
      <c r="L35" s="25">
        <v>0</v>
      </c>
      <c r="M35">
        <v>0</v>
      </c>
      <c r="N35" s="25">
        <v>0</v>
      </c>
      <c r="O35">
        <v>0</v>
      </c>
      <c r="P35" s="25">
        <v>0</v>
      </c>
      <c r="Q35">
        <f t="shared" si="0"/>
        <v>0</v>
      </c>
      <c r="R35" s="25">
        <f t="shared" si="1"/>
        <v>0</v>
      </c>
    </row>
    <row r="36" spans="1:18" x14ac:dyDescent="0.2">
      <c r="A36">
        <v>33</v>
      </c>
      <c r="B36" t="s">
        <v>166</v>
      </c>
      <c r="C36">
        <v>0</v>
      </c>
      <c r="D36" s="25">
        <v>0</v>
      </c>
      <c r="E36">
        <v>2</v>
      </c>
      <c r="F36" s="25">
        <v>1</v>
      </c>
      <c r="G36">
        <v>0</v>
      </c>
      <c r="H36" s="25">
        <v>0</v>
      </c>
      <c r="I36">
        <v>0</v>
      </c>
      <c r="J36" s="25">
        <v>0</v>
      </c>
      <c r="K36">
        <v>0</v>
      </c>
      <c r="L36" s="25">
        <v>0</v>
      </c>
      <c r="M36">
        <v>0</v>
      </c>
      <c r="N36" s="25">
        <v>0</v>
      </c>
      <c r="O36">
        <v>1</v>
      </c>
      <c r="P36" s="25">
        <v>1</v>
      </c>
      <c r="Q36">
        <f t="shared" si="0"/>
        <v>3</v>
      </c>
      <c r="R36" s="25">
        <f t="shared" si="1"/>
        <v>2</v>
      </c>
    </row>
    <row r="37" spans="1:18" x14ac:dyDescent="0.2">
      <c r="A37">
        <v>34</v>
      </c>
      <c r="B37" s="19" t="s">
        <v>170</v>
      </c>
      <c r="C37">
        <v>1</v>
      </c>
      <c r="D37" s="25">
        <v>1</v>
      </c>
      <c r="E37">
        <v>1</v>
      </c>
      <c r="F37" s="25">
        <v>1</v>
      </c>
      <c r="G37">
        <v>2</v>
      </c>
      <c r="H37" s="25">
        <v>1</v>
      </c>
      <c r="I37">
        <v>0</v>
      </c>
      <c r="J37" s="25">
        <v>0</v>
      </c>
      <c r="K37">
        <v>0</v>
      </c>
      <c r="L37" s="25">
        <v>0</v>
      </c>
      <c r="M37">
        <v>0</v>
      </c>
      <c r="N37" s="25">
        <v>0</v>
      </c>
      <c r="O37">
        <v>0</v>
      </c>
      <c r="P37" s="25">
        <v>0</v>
      </c>
      <c r="Q37">
        <f t="shared" si="0"/>
        <v>4</v>
      </c>
      <c r="R37" s="25">
        <f t="shared" si="1"/>
        <v>3</v>
      </c>
    </row>
    <row r="38" spans="1:18" x14ac:dyDescent="0.2">
      <c r="A38">
        <v>35</v>
      </c>
      <c r="B38" t="s">
        <v>173</v>
      </c>
      <c r="C38">
        <v>2</v>
      </c>
      <c r="D38" s="25">
        <v>1</v>
      </c>
      <c r="E38">
        <v>2</v>
      </c>
      <c r="F38" s="25">
        <v>2</v>
      </c>
      <c r="G38">
        <v>2</v>
      </c>
      <c r="H38" s="25">
        <v>2</v>
      </c>
      <c r="I38">
        <v>2</v>
      </c>
      <c r="J38" s="25">
        <v>1</v>
      </c>
      <c r="K38">
        <v>0</v>
      </c>
      <c r="L38" s="25">
        <v>0</v>
      </c>
      <c r="M38">
        <v>0</v>
      </c>
      <c r="N38" s="25">
        <v>0</v>
      </c>
      <c r="O38">
        <v>2</v>
      </c>
      <c r="P38" s="25">
        <v>2</v>
      </c>
      <c r="Q38">
        <f t="shared" si="0"/>
        <v>10</v>
      </c>
      <c r="R38" s="25">
        <f t="shared" si="1"/>
        <v>8</v>
      </c>
    </row>
    <row r="39" spans="1:18" x14ac:dyDescent="0.2">
      <c r="A39">
        <v>36</v>
      </c>
      <c r="B39" t="s">
        <v>183</v>
      </c>
      <c r="C39">
        <v>1</v>
      </c>
      <c r="D39" s="25">
        <v>1</v>
      </c>
      <c r="E39">
        <v>1</v>
      </c>
      <c r="F39" s="25">
        <v>0</v>
      </c>
      <c r="G39">
        <v>0</v>
      </c>
      <c r="H39" s="25">
        <v>0</v>
      </c>
      <c r="I39">
        <v>0</v>
      </c>
      <c r="J39" s="25">
        <v>0</v>
      </c>
      <c r="K39">
        <v>1</v>
      </c>
      <c r="L39" s="25">
        <v>0</v>
      </c>
      <c r="M39">
        <v>0</v>
      </c>
      <c r="N39" s="25">
        <v>0</v>
      </c>
      <c r="O39">
        <v>0</v>
      </c>
      <c r="P39" s="25">
        <v>0</v>
      </c>
      <c r="Q39">
        <f t="shared" si="0"/>
        <v>3</v>
      </c>
      <c r="R39" s="25">
        <f t="shared" si="1"/>
        <v>1</v>
      </c>
    </row>
    <row r="40" spans="1:18" x14ac:dyDescent="0.2">
      <c r="A40">
        <v>37</v>
      </c>
      <c r="B40" t="s">
        <v>188</v>
      </c>
      <c r="C40">
        <v>1</v>
      </c>
      <c r="D40" s="25">
        <v>1</v>
      </c>
      <c r="E40">
        <v>1</v>
      </c>
      <c r="F40" s="25">
        <v>1</v>
      </c>
      <c r="G40">
        <v>1</v>
      </c>
      <c r="H40" s="25">
        <v>1</v>
      </c>
      <c r="I40">
        <v>1</v>
      </c>
      <c r="J40" s="25">
        <v>1</v>
      </c>
      <c r="K40">
        <v>2</v>
      </c>
      <c r="L40" s="25">
        <v>0</v>
      </c>
      <c r="M40">
        <v>0</v>
      </c>
      <c r="N40" s="25">
        <v>0</v>
      </c>
      <c r="O40">
        <v>1</v>
      </c>
      <c r="P40" s="25">
        <v>0</v>
      </c>
      <c r="Q40">
        <f t="shared" si="0"/>
        <v>7</v>
      </c>
      <c r="R40" s="25">
        <f t="shared" si="1"/>
        <v>4</v>
      </c>
    </row>
    <row r="41" spans="1:18" x14ac:dyDescent="0.2">
      <c r="A41">
        <v>38</v>
      </c>
      <c r="B41" t="s">
        <v>192</v>
      </c>
      <c r="C41">
        <v>0</v>
      </c>
      <c r="D41" s="25">
        <v>0</v>
      </c>
      <c r="E41">
        <v>1</v>
      </c>
      <c r="F41" s="25">
        <v>1</v>
      </c>
      <c r="G41">
        <v>2</v>
      </c>
      <c r="H41" s="25">
        <v>1</v>
      </c>
      <c r="I41">
        <v>1</v>
      </c>
      <c r="J41" s="25">
        <v>1</v>
      </c>
      <c r="K41">
        <v>0</v>
      </c>
      <c r="L41" s="25">
        <v>0</v>
      </c>
      <c r="M41">
        <v>0</v>
      </c>
      <c r="N41" s="25">
        <v>0</v>
      </c>
      <c r="O41">
        <v>1</v>
      </c>
      <c r="P41" s="25">
        <v>1</v>
      </c>
      <c r="Q41">
        <f t="shared" si="0"/>
        <v>5</v>
      </c>
      <c r="R41" s="25">
        <f t="shared" si="1"/>
        <v>4</v>
      </c>
    </row>
    <row r="42" spans="1:18" x14ac:dyDescent="0.2">
      <c r="A42">
        <v>39</v>
      </c>
      <c r="B42" t="s">
        <v>181</v>
      </c>
      <c r="C42">
        <v>1</v>
      </c>
      <c r="D42" s="25">
        <v>2</v>
      </c>
      <c r="E42">
        <v>2</v>
      </c>
      <c r="F42" s="25">
        <v>2</v>
      </c>
      <c r="G42">
        <v>2</v>
      </c>
      <c r="H42" s="25">
        <v>2</v>
      </c>
      <c r="I42">
        <v>1</v>
      </c>
      <c r="J42" s="25">
        <v>1</v>
      </c>
      <c r="K42">
        <v>2</v>
      </c>
      <c r="L42" s="25">
        <v>2</v>
      </c>
      <c r="M42">
        <v>0</v>
      </c>
      <c r="N42" s="25">
        <v>0</v>
      </c>
      <c r="O42">
        <v>2</v>
      </c>
      <c r="P42" s="25">
        <v>1</v>
      </c>
      <c r="Q42">
        <f t="shared" si="0"/>
        <v>10</v>
      </c>
      <c r="R42" s="25">
        <f t="shared" si="1"/>
        <v>10</v>
      </c>
    </row>
    <row r="43" spans="1:18" x14ac:dyDescent="0.2">
      <c r="A43">
        <v>40</v>
      </c>
      <c r="B43" t="s">
        <v>196</v>
      </c>
      <c r="C43">
        <v>0</v>
      </c>
      <c r="D43" s="25">
        <v>0</v>
      </c>
      <c r="E43">
        <v>0</v>
      </c>
      <c r="F43" s="25">
        <v>0</v>
      </c>
      <c r="G43">
        <v>0</v>
      </c>
      <c r="H43" s="25">
        <v>0</v>
      </c>
      <c r="I43">
        <v>0</v>
      </c>
      <c r="J43" s="25">
        <v>0</v>
      </c>
      <c r="K43">
        <v>0</v>
      </c>
      <c r="L43" s="25">
        <v>0</v>
      </c>
      <c r="M43">
        <v>0</v>
      </c>
      <c r="N43" s="25">
        <v>0</v>
      </c>
      <c r="O43">
        <v>0</v>
      </c>
      <c r="P43" s="25">
        <v>0</v>
      </c>
      <c r="Q43">
        <f t="shared" si="0"/>
        <v>0</v>
      </c>
      <c r="R43" s="25">
        <f t="shared" si="1"/>
        <v>0</v>
      </c>
    </row>
    <row r="44" spans="1:18" x14ac:dyDescent="0.2">
      <c r="A44">
        <v>41</v>
      </c>
      <c r="B44" t="s">
        <v>202</v>
      </c>
      <c r="C44">
        <v>1</v>
      </c>
      <c r="D44" s="25">
        <v>1</v>
      </c>
      <c r="E44">
        <v>1</v>
      </c>
      <c r="F44" s="25">
        <v>1</v>
      </c>
      <c r="G44">
        <v>1</v>
      </c>
      <c r="H44" s="25">
        <v>1</v>
      </c>
      <c r="I44">
        <v>0</v>
      </c>
      <c r="J44" s="25">
        <v>0</v>
      </c>
      <c r="K44">
        <v>1</v>
      </c>
      <c r="L44" s="25">
        <v>0</v>
      </c>
      <c r="M44">
        <v>0</v>
      </c>
      <c r="N44" s="25">
        <v>0</v>
      </c>
      <c r="O44">
        <v>2</v>
      </c>
      <c r="P44" s="25">
        <v>1</v>
      </c>
      <c r="Q44">
        <f t="shared" si="0"/>
        <v>6</v>
      </c>
      <c r="R44" s="25">
        <f t="shared" si="1"/>
        <v>4</v>
      </c>
    </row>
    <row r="45" spans="1:18" x14ac:dyDescent="0.2">
      <c r="A45">
        <v>42</v>
      </c>
      <c r="B45" t="s">
        <v>508</v>
      </c>
      <c r="C45">
        <v>1</v>
      </c>
      <c r="D45" s="25">
        <v>1</v>
      </c>
      <c r="E45">
        <v>2</v>
      </c>
      <c r="F45" s="25">
        <v>1</v>
      </c>
      <c r="G45">
        <v>1</v>
      </c>
      <c r="H45" s="25">
        <v>1</v>
      </c>
      <c r="I45">
        <v>0</v>
      </c>
      <c r="J45" s="25">
        <v>0</v>
      </c>
      <c r="K45">
        <v>0</v>
      </c>
      <c r="L45" s="25">
        <v>0</v>
      </c>
      <c r="M45">
        <v>0</v>
      </c>
      <c r="N45" s="25">
        <v>0</v>
      </c>
      <c r="O45">
        <v>0</v>
      </c>
      <c r="P45" s="25">
        <v>0</v>
      </c>
      <c r="Q45">
        <f t="shared" si="0"/>
        <v>4</v>
      </c>
      <c r="R45" s="25">
        <f t="shared" si="1"/>
        <v>3</v>
      </c>
    </row>
    <row r="46" spans="1:18" x14ac:dyDescent="0.2">
      <c r="A46">
        <v>43</v>
      </c>
      <c r="B46" t="s">
        <v>589</v>
      </c>
      <c r="C46">
        <v>1</v>
      </c>
      <c r="D46" s="25">
        <v>1</v>
      </c>
      <c r="E46">
        <v>2</v>
      </c>
      <c r="F46" s="25">
        <v>1</v>
      </c>
      <c r="G46">
        <v>1</v>
      </c>
      <c r="H46" s="25">
        <v>1</v>
      </c>
      <c r="I46">
        <v>1</v>
      </c>
      <c r="J46" s="25">
        <v>1</v>
      </c>
      <c r="K46">
        <v>0</v>
      </c>
      <c r="L46" s="25">
        <v>0</v>
      </c>
      <c r="M46">
        <v>1</v>
      </c>
      <c r="N46" s="25">
        <v>1</v>
      </c>
      <c r="O46">
        <v>1</v>
      </c>
      <c r="P46" s="25">
        <v>1</v>
      </c>
      <c r="Q46">
        <f t="shared" si="0"/>
        <v>7</v>
      </c>
      <c r="R46" s="25">
        <f t="shared" si="1"/>
        <v>6</v>
      </c>
    </row>
    <row r="47" spans="1:18" x14ac:dyDescent="0.2">
      <c r="C47">
        <f>SUM(C4:C46)</f>
        <v>34</v>
      </c>
      <c r="D47">
        <f t="shared" ref="D47:P47" si="2">SUM(D4:D46)</f>
        <v>37</v>
      </c>
      <c r="E47">
        <f t="shared" si="2"/>
        <v>47</v>
      </c>
      <c r="F47">
        <f t="shared" si="2"/>
        <v>43</v>
      </c>
      <c r="G47">
        <f t="shared" si="2"/>
        <v>50</v>
      </c>
      <c r="H47">
        <f t="shared" si="2"/>
        <v>45</v>
      </c>
      <c r="I47">
        <f t="shared" si="2"/>
        <v>19</v>
      </c>
      <c r="J47">
        <f t="shared" si="2"/>
        <v>27</v>
      </c>
      <c r="K47">
        <f t="shared" si="2"/>
        <v>9</v>
      </c>
      <c r="L47">
        <f t="shared" si="2"/>
        <v>15</v>
      </c>
      <c r="M47">
        <f t="shared" si="2"/>
        <v>9</v>
      </c>
      <c r="N47">
        <f t="shared" si="2"/>
        <v>11</v>
      </c>
      <c r="O47">
        <f t="shared" si="2"/>
        <v>14</v>
      </c>
      <c r="P47">
        <f t="shared" si="2"/>
        <v>18</v>
      </c>
    </row>
  </sheetData>
  <mergeCells count="9">
    <mergeCell ref="Q2:R2"/>
    <mergeCell ref="C1:R1"/>
    <mergeCell ref="C2:D2"/>
    <mergeCell ref="E2:F2"/>
    <mergeCell ref="G2:H2"/>
    <mergeCell ref="I2:J2"/>
    <mergeCell ref="K2:L2"/>
    <mergeCell ref="M2:N2"/>
    <mergeCell ref="O2:P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B2A2E-28A2-584F-82FF-A4BD4706DD24}">
  <dimension ref="A1:F47"/>
  <sheetViews>
    <sheetView zoomScale="150" workbookViewId="0">
      <selection activeCell="B39" sqref="B39"/>
    </sheetView>
  </sheetViews>
  <sheetFormatPr baseColWidth="10" defaultRowHeight="16" x14ac:dyDescent="0.2"/>
  <cols>
    <col min="2" max="2" width="33.6640625" style="4" customWidth="1"/>
    <col min="3" max="3" width="20.1640625" style="4" customWidth="1"/>
    <col min="4" max="4" width="15.6640625" customWidth="1"/>
  </cols>
  <sheetData>
    <row r="1" spans="1:6" ht="17" x14ac:dyDescent="0.2">
      <c r="A1" t="s">
        <v>236</v>
      </c>
      <c r="B1" s="4" t="s">
        <v>255</v>
      </c>
      <c r="D1" t="s">
        <v>254</v>
      </c>
      <c r="E1" t="s">
        <v>244</v>
      </c>
      <c r="F1" t="s">
        <v>290</v>
      </c>
    </row>
    <row r="2" spans="1:6" ht="17" x14ac:dyDescent="0.2">
      <c r="A2">
        <v>1</v>
      </c>
      <c r="B2" s="4" t="s">
        <v>259</v>
      </c>
      <c r="D2">
        <v>0</v>
      </c>
    </row>
    <row r="3" spans="1:6" ht="51" x14ac:dyDescent="0.2">
      <c r="A3">
        <v>2</v>
      </c>
      <c r="B3" s="4" t="s">
        <v>256</v>
      </c>
      <c r="D3">
        <v>0</v>
      </c>
    </row>
    <row r="4" spans="1:6" ht="51" x14ac:dyDescent="0.2">
      <c r="A4">
        <v>3</v>
      </c>
      <c r="B4" s="4" t="s">
        <v>257</v>
      </c>
      <c r="D4">
        <v>0</v>
      </c>
    </row>
    <row r="5" spans="1:6" ht="102" x14ac:dyDescent="0.2">
      <c r="A5">
        <v>4</v>
      </c>
      <c r="B5" s="4" t="s">
        <v>258</v>
      </c>
      <c r="D5">
        <v>0</v>
      </c>
      <c r="E5" t="s">
        <v>269</v>
      </c>
    </row>
    <row r="6" spans="1:6" ht="51" x14ac:dyDescent="0.2">
      <c r="A6">
        <v>5</v>
      </c>
      <c r="B6" s="4" t="s">
        <v>260</v>
      </c>
      <c r="D6">
        <v>0</v>
      </c>
    </row>
    <row r="7" spans="1:6" ht="221" x14ac:dyDescent="0.2">
      <c r="A7">
        <v>6</v>
      </c>
      <c r="B7" s="4" t="s">
        <v>261</v>
      </c>
      <c r="C7" s="4" t="s">
        <v>311</v>
      </c>
      <c r="D7">
        <v>1</v>
      </c>
      <c r="E7" t="s">
        <v>312</v>
      </c>
    </row>
    <row r="8" spans="1:6" ht="85" x14ac:dyDescent="0.2">
      <c r="A8">
        <v>7</v>
      </c>
      <c r="B8" s="4" t="s">
        <v>262</v>
      </c>
      <c r="D8">
        <v>0</v>
      </c>
    </row>
    <row r="9" spans="1:6" ht="238" x14ac:dyDescent="0.2">
      <c r="A9">
        <v>8</v>
      </c>
      <c r="B9" s="4" t="s">
        <v>263</v>
      </c>
      <c r="D9">
        <v>0</v>
      </c>
      <c r="E9" t="s">
        <v>265</v>
      </c>
    </row>
    <row r="10" spans="1:6" ht="119" x14ac:dyDescent="0.2">
      <c r="A10">
        <v>9</v>
      </c>
      <c r="B10" s="4" t="s">
        <v>264</v>
      </c>
      <c r="D10">
        <v>0</v>
      </c>
      <c r="E10" t="s">
        <v>271</v>
      </c>
    </row>
    <row r="11" spans="1:6" ht="51" x14ac:dyDescent="0.2">
      <c r="A11">
        <v>10</v>
      </c>
      <c r="B11" s="4" t="s">
        <v>266</v>
      </c>
      <c r="D11">
        <v>0</v>
      </c>
      <c r="E11" t="s">
        <v>313</v>
      </c>
    </row>
    <row r="12" spans="1:6" ht="136" x14ac:dyDescent="0.2">
      <c r="A12">
        <v>11</v>
      </c>
      <c r="B12" s="4" t="s">
        <v>267</v>
      </c>
      <c r="D12">
        <v>0</v>
      </c>
      <c r="E12" t="s">
        <v>314</v>
      </c>
    </row>
    <row r="13" spans="1:6" ht="85" x14ac:dyDescent="0.2">
      <c r="A13">
        <v>12</v>
      </c>
      <c r="B13" s="4" t="s">
        <v>268</v>
      </c>
      <c r="D13">
        <v>0</v>
      </c>
    </row>
    <row r="14" spans="1:6" ht="204" x14ac:dyDescent="0.2">
      <c r="A14">
        <v>13</v>
      </c>
      <c r="B14" s="4" t="s">
        <v>270</v>
      </c>
      <c r="C14" s="4" t="s">
        <v>315</v>
      </c>
      <c r="D14">
        <v>1</v>
      </c>
    </row>
    <row r="15" spans="1:6" ht="170" x14ac:dyDescent="0.2">
      <c r="A15">
        <v>14</v>
      </c>
      <c r="B15" s="4" t="s">
        <v>272</v>
      </c>
      <c r="D15">
        <v>1</v>
      </c>
    </row>
    <row r="16" spans="1:6" ht="34" x14ac:dyDescent="0.2">
      <c r="A16">
        <v>15</v>
      </c>
      <c r="B16" s="4" t="s">
        <v>273</v>
      </c>
      <c r="D16">
        <v>1</v>
      </c>
    </row>
    <row r="17" spans="1:5" ht="85" x14ac:dyDescent="0.2">
      <c r="A17">
        <v>16</v>
      </c>
      <c r="B17" s="4" t="s">
        <v>274</v>
      </c>
      <c r="D17">
        <v>1</v>
      </c>
    </row>
    <row r="18" spans="1:5" ht="34" x14ac:dyDescent="0.2">
      <c r="A18">
        <v>17</v>
      </c>
      <c r="B18" s="4" t="s">
        <v>275</v>
      </c>
      <c r="D18">
        <v>0</v>
      </c>
    </row>
    <row r="19" spans="1:5" ht="255" x14ac:dyDescent="0.2">
      <c r="A19">
        <v>18</v>
      </c>
      <c r="B19" s="4" t="s">
        <v>276</v>
      </c>
      <c r="C19" s="4" t="s">
        <v>316</v>
      </c>
      <c r="D19">
        <v>1</v>
      </c>
    </row>
    <row r="20" spans="1:5" ht="51" x14ac:dyDescent="0.2">
      <c r="A20">
        <v>19</v>
      </c>
      <c r="B20" s="4" t="s">
        <v>277</v>
      </c>
      <c r="D20">
        <v>0</v>
      </c>
    </row>
    <row r="21" spans="1:5" ht="85" x14ac:dyDescent="0.2">
      <c r="A21">
        <v>20</v>
      </c>
      <c r="B21" s="4" t="s">
        <v>278</v>
      </c>
      <c r="D21">
        <v>1</v>
      </c>
      <c r="E21" t="s">
        <v>317</v>
      </c>
    </row>
    <row r="22" spans="1:5" ht="102" x14ac:dyDescent="0.2">
      <c r="A22">
        <v>21</v>
      </c>
      <c r="B22" s="4" t="s">
        <v>279</v>
      </c>
      <c r="D22">
        <v>0</v>
      </c>
    </row>
    <row r="23" spans="1:5" ht="187" x14ac:dyDescent="0.2">
      <c r="A23">
        <v>22</v>
      </c>
      <c r="B23" s="4" t="s">
        <v>280</v>
      </c>
      <c r="C23" s="4" t="s">
        <v>318</v>
      </c>
      <c r="D23">
        <v>1</v>
      </c>
      <c r="E23" t="s">
        <v>281</v>
      </c>
    </row>
    <row r="24" spans="1:5" x14ac:dyDescent="0.2">
      <c r="A24">
        <v>23</v>
      </c>
      <c r="B24" t="s">
        <v>116</v>
      </c>
      <c r="D24">
        <v>0</v>
      </c>
    </row>
    <row r="25" spans="1:5" ht="170" x14ac:dyDescent="0.2">
      <c r="A25">
        <v>24</v>
      </c>
      <c r="B25" s="4" t="s">
        <v>282</v>
      </c>
      <c r="D25">
        <v>1</v>
      </c>
    </row>
    <row r="26" spans="1:5" ht="289" x14ac:dyDescent="0.2">
      <c r="A26">
        <v>25</v>
      </c>
      <c r="B26" s="4" t="s">
        <v>283</v>
      </c>
      <c r="D26">
        <v>1</v>
      </c>
    </row>
    <row r="27" spans="1:5" ht="153" x14ac:dyDescent="0.2">
      <c r="A27">
        <v>26</v>
      </c>
      <c r="B27" s="4" t="s">
        <v>284</v>
      </c>
      <c r="D27">
        <v>0</v>
      </c>
    </row>
    <row r="28" spans="1:5" ht="187" x14ac:dyDescent="0.2">
      <c r="A28">
        <v>27</v>
      </c>
      <c r="B28" s="4" t="s">
        <v>285</v>
      </c>
      <c r="D28">
        <v>0</v>
      </c>
      <c r="E28" t="s">
        <v>319</v>
      </c>
    </row>
    <row r="29" spans="1:5" ht="102" x14ac:dyDescent="0.2">
      <c r="A29">
        <v>28</v>
      </c>
      <c r="B29" s="4" t="s">
        <v>286</v>
      </c>
      <c r="D29">
        <v>0</v>
      </c>
      <c r="E29" t="s">
        <v>287</v>
      </c>
    </row>
    <row r="30" spans="1:5" ht="153" x14ac:dyDescent="0.2">
      <c r="A30">
        <v>29</v>
      </c>
      <c r="B30" s="4" t="s">
        <v>288</v>
      </c>
      <c r="D30">
        <v>1</v>
      </c>
      <c r="E30" t="s">
        <v>289</v>
      </c>
    </row>
    <row r="31" spans="1:5" ht="68" x14ac:dyDescent="0.2">
      <c r="A31">
        <v>30</v>
      </c>
      <c r="B31" s="4" t="s">
        <v>291</v>
      </c>
      <c r="D31">
        <v>1</v>
      </c>
    </row>
    <row r="32" spans="1:5" x14ac:dyDescent="0.2">
      <c r="A32">
        <v>31</v>
      </c>
      <c r="D32">
        <v>0</v>
      </c>
      <c r="E32" t="s">
        <v>293</v>
      </c>
    </row>
    <row r="33" spans="1:5" ht="170" x14ac:dyDescent="0.2">
      <c r="A33">
        <v>32</v>
      </c>
      <c r="B33" s="4" t="s">
        <v>294</v>
      </c>
      <c r="D33">
        <v>1</v>
      </c>
    </row>
    <row r="34" spans="1:5" ht="17" x14ac:dyDescent="0.2">
      <c r="A34">
        <v>33</v>
      </c>
      <c r="B34" s="4" t="s">
        <v>295</v>
      </c>
      <c r="D34">
        <v>0</v>
      </c>
      <c r="E34" t="s">
        <v>296</v>
      </c>
    </row>
    <row r="35" spans="1:5" ht="102" x14ac:dyDescent="0.2">
      <c r="A35">
        <v>34</v>
      </c>
      <c r="B35" s="4" t="s">
        <v>297</v>
      </c>
      <c r="D35">
        <v>1</v>
      </c>
      <c r="E35" t="s">
        <v>345</v>
      </c>
    </row>
    <row r="36" spans="1:5" ht="119" x14ac:dyDescent="0.2">
      <c r="A36">
        <v>35</v>
      </c>
      <c r="B36" s="4" t="s">
        <v>298</v>
      </c>
      <c r="D36">
        <v>1</v>
      </c>
      <c r="E36" t="s">
        <v>300</v>
      </c>
    </row>
    <row r="37" spans="1:5" ht="119" x14ac:dyDescent="0.2">
      <c r="A37">
        <v>36</v>
      </c>
      <c r="B37" s="4" t="s">
        <v>299</v>
      </c>
      <c r="D37">
        <v>1</v>
      </c>
    </row>
    <row r="38" spans="1:5" ht="153" x14ac:dyDescent="0.2">
      <c r="A38">
        <v>37</v>
      </c>
      <c r="B38" s="4" t="s">
        <v>301</v>
      </c>
      <c r="D38">
        <v>1</v>
      </c>
    </row>
    <row r="39" spans="1:5" x14ac:dyDescent="0.2">
      <c r="A39">
        <v>38</v>
      </c>
      <c r="D39">
        <v>0</v>
      </c>
      <c r="E39" t="s">
        <v>302</v>
      </c>
    </row>
    <row r="40" spans="1:5" ht="51" x14ac:dyDescent="0.2">
      <c r="A40">
        <v>39</v>
      </c>
      <c r="B40" s="4" t="s">
        <v>303</v>
      </c>
      <c r="D40">
        <v>0</v>
      </c>
      <c r="E40" t="s">
        <v>304</v>
      </c>
    </row>
    <row r="41" spans="1:5" ht="119" x14ac:dyDescent="0.2">
      <c r="A41">
        <v>40</v>
      </c>
      <c r="B41" s="4" t="s">
        <v>305</v>
      </c>
      <c r="D41">
        <v>1</v>
      </c>
    </row>
    <row r="42" spans="1:5" ht="17" x14ac:dyDescent="0.2">
      <c r="A42">
        <v>41</v>
      </c>
      <c r="B42" s="4" t="s">
        <v>306</v>
      </c>
      <c r="D42">
        <v>1</v>
      </c>
      <c r="E42" t="s">
        <v>307</v>
      </c>
    </row>
    <row r="43" spans="1:5" ht="68" x14ac:dyDescent="0.2">
      <c r="A43">
        <v>42</v>
      </c>
      <c r="B43" s="4" t="s">
        <v>308</v>
      </c>
      <c r="D43">
        <v>1</v>
      </c>
      <c r="E43" t="s">
        <v>309</v>
      </c>
    </row>
    <row r="44" spans="1:5" ht="17" x14ac:dyDescent="0.2">
      <c r="A44">
        <v>43</v>
      </c>
      <c r="B44" s="4" t="s">
        <v>310</v>
      </c>
      <c r="D44">
        <v>0</v>
      </c>
    </row>
    <row r="47" spans="1:5" x14ac:dyDescent="0.2">
      <c r="D47" s="9">
        <v>0.97222222222222221</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234D6-E7FA-9C45-86FF-1E08B57EBF0C}">
  <dimension ref="A1:G48"/>
  <sheetViews>
    <sheetView zoomScale="141" workbookViewId="0">
      <selection activeCell="F7" sqref="F7"/>
    </sheetView>
  </sheetViews>
  <sheetFormatPr baseColWidth="10" defaultRowHeight="16" x14ac:dyDescent="0.2"/>
  <cols>
    <col min="1" max="1" width="12.33203125" bestFit="1" customWidth="1"/>
    <col min="2" max="2" width="25.83203125" style="30" customWidth="1"/>
    <col min="5" max="5" width="33.83203125" style="29" bestFit="1" customWidth="1"/>
    <col min="6" max="6" width="33.83203125" style="29" customWidth="1"/>
  </cols>
  <sheetData>
    <row r="1" spans="1:6" ht="17" x14ac:dyDescent="0.2">
      <c r="A1" t="s">
        <v>236</v>
      </c>
      <c r="C1" t="s">
        <v>593</v>
      </c>
      <c r="D1" t="s">
        <v>594</v>
      </c>
      <c r="E1" s="28" t="s">
        <v>255</v>
      </c>
      <c r="F1" s="28"/>
    </row>
    <row r="2" spans="1:6" ht="17" x14ac:dyDescent="0.2">
      <c r="A2">
        <v>1</v>
      </c>
      <c r="B2" s="30" t="s">
        <v>7</v>
      </c>
      <c r="C2">
        <v>1</v>
      </c>
      <c r="D2">
        <v>0</v>
      </c>
      <c r="E2" s="28" t="s">
        <v>259</v>
      </c>
      <c r="F2" s="28"/>
    </row>
    <row r="3" spans="1:6" ht="51" x14ac:dyDescent="0.2">
      <c r="A3">
        <v>2</v>
      </c>
      <c r="B3" s="30" t="s">
        <v>552</v>
      </c>
      <c r="C3">
        <v>1</v>
      </c>
      <c r="D3">
        <v>0</v>
      </c>
      <c r="E3" s="28" t="s">
        <v>256</v>
      </c>
      <c r="F3" s="28"/>
    </row>
    <row r="4" spans="1:6" ht="51" x14ac:dyDescent="0.2">
      <c r="A4">
        <v>3</v>
      </c>
      <c r="B4" s="30" t="s">
        <v>554</v>
      </c>
      <c r="C4">
        <v>1</v>
      </c>
      <c r="D4">
        <v>0</v>
      </c>
      <c r="E4" s="28" t="s">
        <v>257</v>
      </c>
      <c r="F4" s="28"/>
    </row>
    <row r="5" spans="1:6" ht="102" x14ac:dyDescent="0.2">
      <c r="A5">
        <v>4</v>
      </c>
      <c r="B5" s="30" t="s">
        <v>26</v>
      </c>
      <c r="C5">
        <v>0</v>
      </c>
      <c r="D5">
        <v>0</v>
      </c>
      <c r="E5" s="28" t="s">
        <v>258</v>
      </c>
      <c r="F5" s="28" t="s">
        <v>595</v>
      </c>
    </row>
    <row r="6" spans="1:6" ht="51" x14ac:dyDescent="0.2">
      <c r="A6">
        <v>5</v>
      </c>
      <c r="B6" s="30" t="s">
        <v>32</v>
      </c>
      <c r="C6">
        <v>1</v>
      </c>
      <c r="D6">
        <v>0</v>
      </c>
      <c r="E6" s="28" t="s">
        <v>260</v>
      </c>
      <c r="F6" s="28"/>
    </row>
    <row r="7" spans="1:6" ht="153" x14ac:dyDescent="0.2">
      <c r="A7">
        <v>6</v>
      </c>
      <c r="B7" s="29" t="s">
        <v>37</v>
      </c>
      <c r="C7">
        <v>0</v>
      </c>
      <c r="D7">
        <v>0</v>
      </c>
      <c r="E7" s="28" t="s">
        <v>261</v>
      </c>
      <c r="F7" s="28" t="s">
        <v>311</v>
      </c>
    </row>
    <row r="8" spans="1:6" ht="85" x14ac:dyDescent="0.2">
      <c r="A8">
        <v>7</v>
      </c>
      <c r="B8" s="30" t="s">
        <v>558</v>
      </c>
      <c r="C8">
        <v>1</v>
      </c>
      <c r="D8">
        <v>0</v>
      </c>
      <c r="E8" s="28" t="s">
        <v>262</v>
      </c>
      <c r="F8" s="28"/>
    </row>
    <row r="9" spans="1:6" ht="238" x14ac:dyDescent="0.2">
      <c r="A9">
        <v>8</v>
      </c>
      <c r="B9" s="30" t="s">
        <v>566</v>
      </c>
      <c r="C9">
        <v>0</v>
      </c>
      <c r="D9">
        <v>0</v>
      </c>
      <c r="E9" s="28" t="s">
        <v>263</v>
      </c>
      <c r="F9" s="28" t="s">
        <v>596</v>
      </c>
    </row>
    <row r="10" spans="1:6" ht="119" x14ac:dyDescent="0.2">
      <c r="A10">
        <v>9</v>
      </c>
      <c r="B10" s="29" t="s">
        <v>559</v>
      </c>
      <c r="C10">
        <v>0</v>
      </c>
      <c r="D10">
        <v>0</v>
      </c>
      <c r="E10" s="28" t="s">
        <v>264</v>
      </c>
      <c r="F10" s="28" t="s">
        <v>596</v>
      </c>
    </row>
    <row r="11" spans="1:6" ht="51" x14ac:dyDescent="0.2">
      <c r="A11">
        <v>10</v>
      </c>
      <c r="B11" s="30" t="s">
        <v>561</v>
      </c>
      <c r="C11">
        <v>0</v>
      </c>
      <c r="D11">
        <v>0</v>
      </c>
      <c r="E11" s="28" t="s">
        <v>266</v>
      </c>
      <c r="F11" s="28"/>
    </row>
    <row r="12" spans="1:6" ht="136" x14ac:dyDescent="0.2">
      <c r="A12">
        <v>11</v>
      </c>
      <c r="B12" s="29" t="s">
        <v>562</v>
      </c>
      <c r="C12">
        <v>0</v>
      </c>
      <c r="D12">
        <v>0</v>
      </c>
      <c r="E12" s="28" t="s">
        <v>597</v>
      </c>
      <c r="F12" s="28"/>
    </row>
    <row r="13" spans="1:6" ht="102" x14ac:dyDescent="0.2">
      <c r="A13">
        <v>12</v>
      </c>
      <c r="B13" s="30" t="s">
        <v>85</v>
      </c>
      <c r="C13">
        <v>1</v>
      </c>
      <c r="D13">
        <v>0</v>
      </c>
      <c r="E13" s="28" t="s">
        <v>268</v>
      </c>
      <c r="F13" s="28"/>
    </row>
    <row r="14" spans="1:6" ht="119" x14ac:dyDescent="0.2">
      <c r="A14">
        <v>13</v>
      </c>
      <c r="B14" s="30" t="s">
        <v>81</v>
      </c>
      <c r="C14">
        <v>0</v>
      </c>
      <c r="D14">
        <v>0</v>
      </c>
      <c r="E14" s="28" t="s">
        <v>270</v>
      </c>
      <c r="F14" s="28" t="s">
        <v>315</v>
      </c>
    </row>
    <row r="15" spans="1:6" ht="170" x14ac:dyDescent="0.2">
      <c r="A15">
        <v>14</v>
      </c>
      <c r="B15" s="30" t="s">
        <v>84</v>
      </c>
      <c r="C15">
        <v>0</v>
      </c>
      <c r="D15">
        <v>1</v>
      </c>
      <c r="E15" s="28" t="s">
        <v>272</v>
      </c>
      <c r="F15" s="28"/>
    </row>
    <row r="16" spans="1:6" ht="34" x14ac:dyDescent="0.2">
      <c r="A16">
        <v>15</v>
      </c>
      <c r="B16" s="31" t="s">
        <v>232</v>
      </c>
      <c r="C16">
        <v>0</v>
      </c>
      <c r="D16">
        <v>1</v>
      </c>
      <c r="E16" s="28" t="s">
        <v>273</v>
      </c>
      <c r="F16" s="28"/>
    </row>
    <row r="17" spans="1:6" ht="85" x14ac:dyDescent="0.2">
      <c r="A17">
        <v>16</v>
      </c>
      <c r="B17" s="30" t="s">
        <v>21</v>
      </c>
      <c r="C17">
        <v>0</v>
      </c>
      <c r="D17">
        <v>1</v>
      </c>
      <c r="E17" s="28" t="s">
        <v>274</v>
      </c>
      <c r="F17" s="28"/>
    </row>
    <row r="18" spans="1:6" ht="34" x14ac:dyDescent="0.2">
      <c r="A18">
        <v>17</v>
      </c>
      <c r="B18" s="30" t="s">
        <v>99</v>
      </c>
      <c r="C18">
        <v>0</v>
      </c>
      <c r="D18">
        <v>0</v>
      </c>
      <c r="E18" s="28" t="s">
        <v>275</v>
      </c>
      <c r="F18" s="28"/>
    </row>
    <row r="19" spans="1:6" ht="204" x14ac:dyDescent="0.2">
      <c r="A19">
        <v>18</v>
      </c>
      <c r="B19" s="30" t="s">
        <v>105</v>
      </c>
      <c r="C19">
        <v>0</v>
      </c>
      <c r="D19">
        <v>1</v>
      </c>
      <c r="E19" s="28" t="s">
        <v>276</v>
      </c>
      <c r="F19" s="28" t="s">
        <v>316</v>
      </c>
    </row>
    <row r="20" spans="1:6" ht="51" x14ac:dyDescent="0.2">
      <c r="A20">
        <v>19</v>
      </c>
      <c r="B20" s="30" t="s">
        <v>108</v>
      </c>
      <c r="C20">
        <v>1</v>
      </c>
      <c r="D20">
        <v>0</v>
      </c>
      <c r="E20" s="28" t="s">
        <v>277</v>
      </c>
      <c r="F20" s="28"/>
    </row>
    <row r="21" spans="1:6" ht="85" x14ac:dyDescent="0.2">
      <c r="A21">
        <v>20</v>
      </c>
      <c r="B21" s="30" t="s">
        <v>111</v>
      </c>
      <c r="C21">
        <v>0</v>
      </c>
      <c r="D21">
        <v>0</v>
      </c>
      <c r="E21" s="28" t="s">
        <v>278</v>
      </c>
      <c r="F21" s="28"/>
    </row>
    <row r="22" spans="1:6" ht="102" x14ac:dyDescent="0.2">
      <c r="A22">
        <v>21</v>
      </c>
      <c r="B22" s="30" t="s">
        <v>112</v>
      </c>
      <c r="C22">
        <v>1</v>
      </c>
      <c r="D22">
        <v>0</v>
      </c>
      <c r="E22" s="28" t="s">
        <v>279</v>
      </c>
      <c r="F22" s="28"/>
    </row>
    <row r="23" spans="1:6" ht="187" x14ac:dyDescent="0.2">
      <c r="A23">
        <v>22</v>
      </c>
      <c r="B23" s="29" t="s">
        <v>575</v>
      </c>
      <c r="C23">
        <v>0</v>
      </c>
      <c r="D23">
        <v>0</v>
      </c>
      <c r="E23" s="28" t="s">
        <v>280</v>
      </c>
      <c r="F23" s="28" t="s">
        <v>318</v>
      </c>
    </row>
    <row r="24" spans="1:6" x14ac:dyDescent="0.2">
      <c r="A24">
        <v>23</v>
      </c>
      <c r="B24" s="30" t="s">
        <v>116</v>
      </c>
      <c r="C24">
        <v>1</v>
      </c>
      <c r="D24">
        <v>0</v>
      </c>
      <c r="E24" s="29" t="s">
        <v>116</v>
      </c>
      <c r="F24" s="28"/>
    </row>
    <row r="25" spans="1:6" ht="170" x14ac:dyDescent="0.2">
      <c r="A25">
        <v>24</v>
      </c>
      <c r="B25" s="32" t="s">
        <v>96</v>
      </c>
      <c r="C25">
        <v>0</v>
      </c>
      <c r="D25">
        <v>0</v>
      </c>
      <c r="E25" s="28" t="s">
        <v>282</v>
      </c>
      <c r="F25" s="28" t="s">
        <v>598</v>
      </c>
    </row>
    <row r="26" spans="1:6" ht="289" x14ac:dyDescent="0.2">
      <c r="A26">
        <v>25</v>
      </c>
      <c r="B26" s="30" t="s">
        <v>88</v>
      </c>
      <c r="C26">
        <v>0</v>
      </c>
      <c r="D26">
        <v>0</v>
      </c>
      <c r="E26" s="28" t="s">
        <v>283</v>
      </c>
      <c r="F26" s="28"/>
    </row>
    <row r="27" spans="1:6" ht="170" x14ac:dyDescent="0.2">
      <c r="A27">
        <v>26</v>
      </c>
      <c r="B27" s="31" t="s">
        <v>78</v>
      </c>
      <c r="C27">
        <v>1</v>
      </c>
      <c r="D27">
        <v>0</v>
      </c>
      <c r="E27" s="28" t="s">
        <v>605</v>
      </c>
      <c r="F27" s="28"/>
    </row>
    <row r="28" spans="1:6" ht="187" x14ac:dyDescent="0.2">
      <c r="A28">
        <v>27</v>
      </c>
      <c r="B28" s="30" t="s">
        <v>68</v>
      </c>
      <c r="C28">
        <v>0</v>
      </c>
      <c r="D28">
        <v>0</v>
      </c>
      <c r="E28" s="28" t="s">
        <v>285</v>
      </c>
      <c r="F28" s="28" t="s">
        <v>599</v>
      </c>
    </row>
    <row r="29" spans="1:6" ht="102" x14ac:dyDescent="0.2">
      <c r="A29">
        <v>28</v>
      </c>
      <c r="B29" s="30" t="s">
        <v>147</v>
      </c>
      <c r="C29">
        <v>0</v>
      </c>
      <c r="D29">
        <v>0</v>
      </c>
      <c r="E29" s="28" t="s">
        <v>286</v>
      </c>
      <c r="F29" s="28"/>
    </row>
    <row r="30" spans="1:6" ht="153" x14ac:dyDescent="0.2">
      <c r="A30">
        <v>29</v>
      </c>
      <c r="B30" s="30" t="s">
        <v>150</v>
      </c>
      <c r="C30">
        <v>0</v>
      </c>
      <c r="D30">
        <v>0</v>
      </c>
      <c r="E30" s="28" t="s">
        <v>288</v>
      </c>
      <c r="F30" s="28"/>
    </row>
    <row r="31" spans="1:6" ht="68" x14ac:dyDescent="0.2">
      <c r="A31">
        <v>30</v>
      </c>
      <c r="B31" s="30" t="s">
        <v>292</v>
      </c>
      <c r="C31">
        <v>0</v>
      </c>
      <c r="D31">
        <v>1</v>
      </c>
      <c r="E31" s="28" t="s">
        <v>291</v>
      </c>
      <c r="F31" s="28"/>
    </row>
    <row r="32" spans="1:6" x14ac:dyDescent="0.2">
      <c r="A32">
        <v>31</v>
      </c>
      <c r="B32" s="32" t="s">
        <v>235</v>
      </c>
      <c r="C32">
        <v>0</v>
      </c>
      <c r="D32">
        <v>0</v>
      </c>
      <c r="E32" s="28"/>
      <c r="F32" s="28"/>
    </row>
    <row r="33" spans="1:7" ht="170" x14ac:dyDescent="0.2">
      <c r="A33">
        <v>32</v>
      </c>
      <c r="B33" s="30" t="s">
        <v>137</v>
      </c>
      <c r="C33">
        <v>0</v>
      </c>
      <c r="D33">
        <v>0</v>
      </c>
      <c r="E33" s="28" t="s">
        <v>294</v>
      </c>
      <c r="F33" s="28"/>
    </row>
    <row r="34" spans="1:7" ht="17" x14ac:dyDescent="0.2">
      <c r="A34">
        <v>33</v>
      </c>
      <c r="B34" s="30" t="s">
        <v>166</v>
      </c>
      <c r="C34">
        <v>1</v>
      </c>
      <c r="D34">
        <v>0</v>
      </c>
      <c r="E34" s="28" t="s">
        <v>295</v>
      </c>
      <c r="F34" s="28"/>
    </row>
    <row r="35" spans="1:7" ht="102" x14ac:dyDescent="0.2">
      <c r="A35">
        <v>34</v>
      </c>
      <c r="B35" s="31" t="s">
        <v>170</v>
      </c>
      <c r="C35">
        <v>0</v>
      </c>
      <c r="D35">
        <v>0</v>
      </c>
      <c r="E35" s="28" t="s">
        <v>297</v>
      </c>
      <c r="F35" s="28"/>
    </row>
    <row r="36" spans="1:7" ht="102" x14ac:dyDescent="0.2">
      <c r="A36">
        <v>35</v>
      </c>
      <c r="B36" s="30" t="s">
        <v>173</v>
      </c>
      <c r="C36">
        <v>0</v>
      </c>
      <c r="D36">
        <v>1</v>
      </c>
      <c r="E36" s="28" t="s">
        <v>298</v>
      </c>
      <c r="F36" s="28"/>
    </row>
    <row r="37" spans="1:7" ht="119" x14ac:dyDescent="0.2">
      <c r="A37">
        <v>36</v>
      </c>
      <c r="B37" s="30" t="s">
        <v>183</v>
      </c>
      <c r="C37">
        <v>0</v>
      </c>
      <c r="D37">
        <v>1</v>
      </c>
      <c r="E37" s="28" t="s">
        <v>299</v>
      </c>
      <c r="F37" s="28"/>
    </row>
    <row r="38" spans="1:7" ht="153" x14ac:dyDescent="0.2">
      <c r="A38">
        <v>37</v>
      </c>
      <c r="B38" s="30" t="s">
        <v>188</v>
      </c>
      <c r="C38">
        <v>0</v>
      </c>
      <c r="D38">
        <v>0</v>
      </c>
      <c r="E38" s="28" t="s">
        <v>301</v>
      </c>
      <c r="F38" s="28"/>
    </row>
    <row r="39" spans="1:7" ht="102" x14ac:dyDescent="0.2">
      <c r="A39">
        <v>38</v>
      </c>
      <c r="B39" s="30" t="s">
        <v>192</v>
      </c>
      <c r="C39">
        <v>1</v>
      </c>
      <c r="D39">
        <v>0</v>
      </c>
      <c r="E39" s="28" t="s">
        <v>600</v>
      </c>
      <c r="F39" s="28" t="s">
        <v>606</v>
      </c>
    </row>
    <row r="40" spans="1:7" ht="102" x14ac:dyDescent="0.2">
      <c r="A40">
        <v>39</v>
      </c>
      <c r="B40" s="30" t="s">
        <v>181</v>
      </c>
      <c r="C40">
        <v>0</v>
      </c>
      <c r="D40">
        <v>0</v>
      </c>
      <c r="E40" s="28" t="s">
        <v>303</v>
      </c>
      <c r="F40" s="28" t="s">
        <v>601</v>
      </c>
    </row>
    <row r="41" spans="1:7" ht="119" x14ac:dyDescent="0.2">
      <c r="A41">
        <v>40</v>
      </c>
      <c r="B41" s="30" t="s">
        <v>196</v>
      </c>
      <c r="C41">
        <v>0</v>
      </c>
      <c r="D41">
        <v>0</v>
      </c>
      <c r="E41" s="28" t="s">
        <v>305</v>
      </c>
      <c r="F41" s="28" t="s">
        <v>602</v>
      </c>
    </row>
    <row r="42" spans="1:7" ht="17" x14ac:dyDescent="0.2">
      <c r="A42">
        <v>41</v>
      </c>
      <c r="B42" s="30" t="s">
        <v>202</v>
      </c>
      <c r="C42">
        <v>0</v>
      </c>
      <c r="D42">
        <v>1</v>
      </c>
      <c r="E42" s="28" t="s">
        <v>306</v>
      </c>
      <c r="F42" s="28"/>
    </row>
    <row r="43" spans="1:7" ht="68" x14ac:dyDescent="0.2">
      <c r="A43">
        <v>42</v>
      </c>
      <c r="B43" s="30" t="s">
        <v>508</v>
      </c>
      <c r="C43">
        <v>0</v>
      </c>
      <c r="D43">
        <v>0</v>
      </c>
      <c r="E43" s="4" t="s">
        <v>308</v>
      </c>
      <c r="F43" s="28"/>
    </row>
    <row r="44" spans="1:7" ht="17" x14ac:dyDescent="0.2">
      <c r="A44">
        <v>43</v>
      </c>
      <c r="B44" s="30" t="s">
        <v>589</v>
      </c>
      <c r="C44">
        <v>1</v>
      </c>
      <c r="D44">
        <v>0</v>
      </c>
      <c r="E44" s="28" t="s">
        <v>310</v>
      </c>
      <c r="F44" s="28"/>
    </row>
    <row r="46" spans="1:7" x14ac:dyDescent="0.2">
      <c r="C46" t="s">
        <v>604</v>
      </c>
      <c r="G46" t="s">
        <v>607</v>
      </c>
    </row>
    <row r="47" spans="1:7" x14ac:dyDescent="0.2">
      <c r="C47" t="s">
        <v>608</v>
      </c>
    </row>
    <row r="48" spans="1:7" x14ac:dyDescent="0.2">
      <c r="C48" t="s">
        <v>603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95638-DD4E-6D49-91D9-389FF8DE7540}">
  <dimension ref="A1:F44"/>
  <sheetViews>
    <sheetView zoomScale="175" workbookViewId="0">
      <selection activeCell="I6" sqref="I6"/>
    </sheetView>
  </sheetViews>
  <sheetFormatPr baseColWidth="10" defaultRowHeight="16" x14ac:dyDescent="0.2"/>
  <cols>
    <col min="2" max="2" width="25.83203125" style="30" customWidth="1"/>
    <col min="3" max="3" width="15.83203125" customWidth="1"/>
    <col min="4" max="4" width="44.33203125" style="4" customWidth="1"/>
    <col min="5" max="6" width="15.83203125" customWidth="1"/>
  </cols>
  <sheetData>
    <row r="1" spans="1:6" ht="17" x14ac:dyDescent="0.2">
      <c r="A1" t="s">
        <v>236</v>
      </c>
      <c r="C1" t="s">
        <v>320</v>
      </c>
      <c r="D1" s="4" t="s">
        <v>255</v>
      </c>
      <c r="F1" t="s">
        <v>244</v>
      </c>
    </row>
    <row r="2" spans="1:6" ht="68" x14ac:dyDescent="0.2">
      <c r="A2">
        <v>1</v>
      </c>
      <c r="B2" s="30" t="s">
        <v>7</v>
      </c>
      <c r="C2" t="s">
        <v>322</v>
      </c>
      <c r="D2" s="4" t="s">
        <v>321</v>
      </c>
      <c r="F2" t="s">
        <v>323</v>
      </c>
    </row>
    <row r="3" spans="1:6" ht="119" x14ac:dyDescent="0.2">
      <c r="A3">
        <v>2</v>
      </c>
      <c r="B3" s="30" t="s">
        <v>552</v>
      </c>
      <c r="C3" t="s">
        <v>322</v>
      </c>
      <c r="D3" s="4" t="s">
        <v>324</v>
      </c>
      <c r="F3" t="s">
        <v>323</v>
      </c>
    </row>
    <row r="4" spans="1:6" ht="85" x14ac:dyDescent="0.2">
      <c r="A4">
        <v>3</v>
      </c>
      <c r="B4" s="30" t="s">
        <v>554</v>
      </c>
      <c r="C4" t="s">
        <v>434</v>
      </c>
      <c r="D4" s="4" t="s">
        <v>325</v>
      </c>
      <c r="F4" t="s">
        <v>323</v>
      </c>
    </row>
    <row r="5" spans="1:6" x14ac:dyDescent="0.2">
      <c r="A5">
        <v>4</v>
      </c>
      <c r="B5" s="30" t="s">
        <v>26</v>
      </c>
      <c r="C5" t="s">
        <v>434</v>
      </c>
    </row>
    <row r="6" spans="1:6" ht="136" x14ac:dyDescent="0.2">
      <c r="A6">
        <v>5</v>
      </c>
      <c r="B6" s="30" t="s">
        <v>32</v>
      </c>
      <c r="C6" t="s">
        <v>326</v>
      </c>
      <c r="D6" s="4" t="s">
        <v>330</v>
      </c>
      <c r="F6" t="s">
        <v>331</v>
      </c>
    </row>
    <row r="7" spans="1:6" ht="102" x14ac:dyDescent="0.2">
      <c r="A7">
        <v>6</v>
      </c>
      <c r="B7" s="29" t="s">
        <v>37</v>
      </c>
      <c r="C7" t="s">
        <v>327</v>
      </c>
      <c r="D7" s="4" t="s">
        <v>328</v>
      </c>
      <c r="F7" t="s">
        <v>323</v>
      </c>
    </row>
    <row r="8" spans="1:6" x14ac:dyDescent="0.2">
      <c r="A8">
        <v>7</v>
      </c>
      <c r="B8" s="30" t="s">
        <v>558</v>
      </c>
      <c r="C8" t="s">
        <v>326</v>
      </c>
      <c r="F8" t="s">
        <v>435</v>
      </c>
    </row>
    <row r="9" spans="1:6" ht="34" x14ac:dyDescent="0.2">
      <c r="A9">
        <v>8</v>
      </c>
      <c r="B9" s="30" t="s">
        <v>566</v>
      </c>
      <c r="C9" t="s">
        <v>326</v>
      </c>
      <c r="D9" s="4" t="s">
        <v>332</v>
      </c>
    </row>
    <row r="10" spans="1:6" ht="34" x14ac:dyDescent="0.2">
      <c r="A10">
        <v>9</v>
      </c>
      <c r="B10" s="29" t="s">
        <v>559</v>
      </c>
      <c r="C10" t="s">
        <v>326</v>
      </c>
      <c r="D10" s="4" t="s">
        <v>333</v>
      </c>
    </row>
    <row r="11" spans="1:6" x14ac:dyDescent="0.2">
      <c r="A11">
        <v>10</v>
      </c>
      <c r="B11" s="30" t="s">
        <v>561</v>
      </c>
      <c r="C11" t="s">
        <v>434</v>
      </c>
    </row>
    <row r="12" spans="1:6" ht="17" x14ac:dyDescent="0.2">
      <c r="A12">
        <v>11</v>
      </c>
      <c r="B12" s="29" t="s">
        <v>562</v>
      </c>
      <c r="C12" t="s">
        <v>327</v>
      </c>
      <c r="D12" s="4" t="s">
        <v>334</v>
      </c>
      <c r="F12" t="s">
        <v>436</v>
      </c>
    </row>
    <row r="13" spans="1:6" ht="17" x14ac:dyDescent="0.2">
      <c r="A13">
        <v>12</v>
      </c>
      <c r="B13" s="30" t="s">
        <v>85</v>
      </c>
      <c r="C13" t="s">
        <v>326</v>
      </c>
      <c r="D13" s="4" t="s">
        <v>335</v>
      </c>
    </row>
    <row r="14" spans="1:6" x14ac:dyDescent="0.2">
      <c r="A14">
        <v>13</v>
      </c>
      <c r="B14" s="30" t="s">
        <v>81</v>
      </c>
      <c r="C14" t="s">
        <v>434</v>
      </c>
    </row>
    <row r="15" spans="1:6" ht="51" x14ac:dyDescent="0.2">
      <c r="A15">
        <v>14</v>
      </c>
      <c r="B15" s="30" t="s">
        <v>84</v>
      </c>
      <c r="C15" t="s">
        <v>326</v>
      </c>
      <c r="D15" s="4" t="s">
        <v>336</v>
      </c>
    </row>
    <row r="16" spans="1:6" ht="119" x14ac:dyDescent="0.2">
      <c r="A16">
        <v>15</v>
      </c>
      <c r="B16" s="31" t="s">
        <v>232</v>
      </c>
      <c r="C16" t="s">
        <v>327</v>
      </c>
      <c r="D16" s="4" t="s">
        <v>337</v>
      </c>
      <c r="F16" t="s">
        <v>446</v>
      </c>
    </row>
    <row r="17" spans="1:6" ht="68" x14ac:dyDescent="0.2">
      <c r="A17">
        <v>16</v>
      </c>
      <c r="B17" s="30" t="s">
        <v>21</v>
      </c>
      <c r="C17" t="s">
        <v>326</v>
      </c>
      <c r="D17" s="4" t="s">
        <v>338</v>
      </c>
    </row>
    <row r="18" spans="1:6" x14ac:dyDescent="0.2">
      <c r="A18">
        <v>17</v>
      </c>
      <c r="B18" s="30" t="s">
        <v>99</v>
      </c>
      <c r="C18" t="s">
        <v>434</v>
      </c>
    </row>
    <row r="19" spans="1:6" x14ac:dyDescent="0.2">
      <c r="A19">
        <v>18</v>
      </c>
      <c r="B19" s="30" t="s">
        <v>105</v>
      </c>
      <c r="C19" t="s">
        <v>326</v>
      </c>
    </row>
    <row r="20" spans="1:6" x14ac:dyDescent="0.2">
      <c r="A20">
        <v>19</v>
      </c>
      <c r="B20" s="30" t="s">
        <v>108</v>
      </c>
      <c r="C20" t="s">
        <v>434</v>
      </c>
      <c r="F20" t="s">
        <v>339</v>
      </c>
    </row>
    <row r="21" spans="1:6" ht="51" x14ac:dyDescent="0.2">
      <c r="A21">
        <v>20</v>
      </c>
      <c r="B21" s="30" t="s">
        <v>111</v>
      </c>
      <c r="C21" t="s">
        <v>326</v>
      </c>
      <c r="D21" s="4" t="s">
        <v>340</v>
      </c>
      <c r="F21" t="s">
        <v>437</v>
      </c>
    </row>
    <row r="22" spans="1:6" x14ac:dyDescent="0.2">
      <c r="A22">
        <v>21</v>
      </c>
      <c r="B22" s="30" t="s">
        <v>112</v>
      </c>
      <c r="C22" t="s">
        <v>434</v>
      </c>
    </row>
    <row r="23" spans="1:6" x14ac:dyDescent="0.2">
      <c r="A23">
        <v>22</v>
      </c>
      <c r="B23" s="29" t="s">
        <v>575</v>
      </c>
      <c r="C23" t="s">
        <v>326</v>
      </c>
    </row>
    <row r="24" spans="1:6" x14ac:dyDescent="0.2">
      <c r="A24">
        <v>23</v>
      </c>
      <c r="B24" s="30" t="s">
        <v>116</v>
      </c>
      <c r="C24" t="s">
        <v>434</v>
      </c>
    </row>
    <row r="25" spans="1:6" x14ac:dyDescent="0.2">
      <c r="A25">
        <v>24</v>
      </c>
      <c r="B25" s="32" t="s">
        <v>96</v>
      </c>
      <c r="C25" t="s">
        <v>326</v>
      </c>
    </row>
    <row r="26" spans="1:6" ht="85" x14ac:dyDescent="0.2">
      <c r="A26">
        <v>25</v>
      </c>
      <c r="B26" s="30" t="s">
        <v>88</v>
      </c>
      <c r="C26" t="s">
        <v>327</v>
      </c>
      <c r="D26" s="4" t="s">
        <v>341</v>
      </c>
    </row>
    <row r="27" spans="1:6" x14ac:dyDescent="0.2">
      <c r="A27">
        <v>26</v>
      </c>
      <c r="B27" s="31" t="s">
        <v>78</v>
      </c>
      <c r="C27" t="s">
        <v>434</v>
      </c>
    </row>
    <row r="28" spans="1:6" x14ac:dyDescent="0.2">
      <c r="A28">
        <v>27</v>
      </c>
      <c r="B28" s="30" t="s">
        <v>68</v>
      </c>
      <c r="C28" t="s">
        <v>434</v>
      </c>
    </row>
    <row r="29" spans="1:6" x14ac:dyDescent="0.2">
      <c r="A29">
        <v>28</v>
      </c>
      <c r="B29" s="30" t="s">
        <v>147</v>
      </c>
      <c r="C29" t="s">
        <v>434</v>
      </c>
    </row>
    <row r="30" spans="1:6" ht="17" x14ac:dyDescent="0.2">
      <c r="A30">
        <v>29</v>
      </c>
      <c r="B30" s="30" t="s">
        <v>150</v>
      </c>
      <c r="C30" t="s">
        <v>326</v>
      </c>
      <c r="D30" s="4" t="s">
        <v>342</v>
      </c>
    </row>
    <row r="31" spans="1:6" x14ac:dyDescent="0.2">
      <c r="A31">
        <v>30</v>
      </c>
      <c r="B31" s="30" t="s">
        <v>292</v>
      </c>
      <c r="C31" t="s">
        <v>434</v>
      </c>
    </row>
    <row r="32" spans="1:6" x14ac:dyDescent="0.2">
      <c r="A32">
        <v>31</v>
      </c>
      <c r="B32" s="32" t="s">
        <v>235</v>
      </c>
      <c r="C32" t="s">
        <v>434</v>
      </c>
    </row>
    <row r="33" spans="1:4" ht="204" x14ac:dyDescent="0.2">
      <c r="A33">
        <v>32</v>
      </c>
      <c r="B33" s="30" t="s">
        <v>137</v>
      </c>
      <c r="C33" t="s">
        <v>329</v>
      </c>
      <c r="D33" s="4" t="s">
        <v>343</v>
      </c>
    </row>
    <row r="34" spans="1:4" ht="17" x14ac:dyDescent="0.2">
      <c r="A34">
        <v>33</v>
      </c>
      <c r="B34" s="30" t="s">
        <v>166</v>
      </c>
      <c r="C34" t="s">
        <v>326</v>
      </c>
      <c r="D34" s="4" t="s">
        <v>344</v>
      </c>
    </row>
    <row r="35" spans="1:4" x14ac:dyDescent="0.2">
      <c r="A35">
        <v>34</v>
      </c>
      <c r="B35" s="31" t="s">
        <v>170</v>
      </c>
      <c r="C35" t="s">
        <v>434</v>
      </c>
    </row>
    <row r="36" spans="1:4" ht="119" x14ac:dyDescent="0.2">
      <c r="A36">
        <v>35</v>
      </c>
      <c r="B36" s="30" t="s">
        <v>173</v>
      </c>
      <c r="C36" t="s">
        <v>326</v>
      </c>
      <c r="D36" s="4" t="s">
        <v>346</v>
      </c>
    </row>
    <row r="37" spans="1:4" ht="68" x14ac:dyDescent="0.2">
      <c r="A37">
        <v>36</v>
      </c>
      <c r="B37" s="30" t="s">
        <v>183</v>
      </c>
      <c r="C37" t="s">
        <v>326</v>
      </c>
      <c r="D37" s="4" t="s">
        <v>347</v>
      </c>
    </row>
    <row r="38" spans="1:4" ht="153" x14ac:dyDescent="0.2">
      <c r="A38">
        <v>37</v>
      </c>
      <c r="B38" s="30" t="s">
        <v>188</v>
      </c>
      <c r="C38" t="s">
        <v>326</v>
      </c>
      <c r="D38" s="4" t="s">
        <v>349</v>
      </c>
    </row>
    <row r="39" spans="1:4" ht="68" x14ac:dyDescent="0.2">
      <c r="A39">
        <v>38</v>
      </c>
      <c r="B39" s="30" t="s">
        <v>192</v>
      </c>
      <c r="C39" t="s">
        <v>326</v>
      </c>
      <c r="D39" s="4" t="s">
        <v>348</v>
      </c>
    </row>
    <row r="40" spans="1:4" x14ac:dyDescent="0.2">
      <c r="A40">
        <v>39</v>
      </c>
      <c r="B40" s="30" t="s">
        <v>181</v>
      </c>
      <c r="C40" t="s">
        <v>326</v>
      </c>
    </row>
    <row r="41" spans="1:4" ht="51" x14ac:dyDescent="0.2">
      <c r="A41">
        <v>40</v>
      </c>
      <c r="B41" s="30" t="s">
        <v>196</v>
      </c>
      <c r="C41" t="s">
        <v>326</v>
      </c>
      <c r="D41" s="4" t="s">
        <v>350</v>
      </c>
    </row>
    <row r="42" spans="1:4" x14ac:dyDescent="0.2">
      <c r="A42">
        <v>41</v>
      </c>
      <c r="B42" s="30" t="s">
        <v>202</v>
      </c>
      <c r="C42" t="s">
        <v>434</v>
      </c>
    </row>
    <row r="43" spans="1:4" x14ac:dyDescent="0.2">
      <c r="A43">
        <v>42</v>
      </c>
      <c r="B43" s="30" t="s">
        <v>508</v>
      </c>
      <c r="C43" t="s">
        <v>434</v>
      </c>
    </row>
    <row r="44" spans="1:4" x14ac:dyDescent="0.2">
      <c r="A44">
        <v>43</v>
      </c>
      <c r="B44" s="30" t="s">
        <v>589</v>
      </c>
      <c r="C44" t="s">
        <v>434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7F22A-9DE3-284E-AA8C-34EFA9F459DF}">
  <dimension ref="A1:H48"/>
  <sheetViews>
    <sheetView topLeftCell="A38" zoomScale="150" workbookViewId="0">
      <selection activeCell="A40" sqref="A40:G41"/>
    </sheetView>
  </sheetViews>
  <sheetFormatPr baseColWidth="10" defaultRowHeight="16" x14ac:dyDescent="0.2"/>
  <cols>
    <col min="1" max="1" width="12.1640625" style="30" customWidth="1"/>
    <col min="2" max="2" width="10.83203125" style="30"/>
    <col min="3" max="3" width="17" style="30" customWidth="1"/>
    <col min="4" max="4" width="33.5" style="33" customWidth="1"/>
    <col min="5" max="5" width="11.5" style="30" customWidth="1"/>
    <col min="6" max="6" width="14.83203125" style="30" customWidth="1"/>
    <col min="7" max="7" width="29.5" style="33" customWidth="1"/>
    <col min="8" max="8" width="27.5" style="33" customWidth="1"/>
  </cols>
  <sheetData>
    <row r="1" spans="1:8" ht="17" x14ac:dyDescent="0.2">
      <c r="A1" s="30" t="s">
        <v>236</v>
      </c>
      <c r="B1" s="33" t="s">
        <v>351</v>
      </c>
      <c r="C1" s="30" t="s">
        <v>456</v>
      </c>
      <c r="D1" s="33" t="s">
        <v>352</v>
      </c>
      <c r="F1" s="30" t="s">
        <v>610</v>
      </c>
      <c r="G1" s="33" t="s">
        <v>617</v>
      </c>
      <c r="H1" s="33" t="s">
        <v>618</v>
      </c>
    </row>
    <row r="2" spans="1:8" x14ac:dyDescent="0.2">
      <c r="A2" s="30">
        <v>1</v>
      </c>
      <c r="B2" s="30" t="s">
        <v>353</v>
      </c>
    </row>
    <row r="3" spans="1:8" x14ac:dyDescent="0.2">
      <c r="A3" s="30">
        <v>2</v>
      </c>
      <c r="B3" s="30" t="s">
        <v>353</v>
      </c>
    </row>
    <row r="4" spans="1:8" x14ac:dyDescent="0.2">
      <c r="A4" s="30">
        <v>3</v>
      </c>
      <c r="B4" s="30" t="s">
        <v>353</v>
      </c>
    </row>
    <row r="5" spans="1:8" x14ac:dyDescent="0.2">
      <c r="A5" s="30">
        <v>4</v>
      </c>
      <c r="B5" s="30" t="s">
        <v>353</v>
      </c>
    </row>
    <row r="6" spans="1:8" x14ac:dyDescent="0.2">
      <c r="A6" s="30">
        <v>5</v>
      </c>
      <c r="B6" s="30" t="s">
        <v>353</v>
      </c>
    </row>
    <row r="7" spans="1:8" ht="85" x14ac:dyDescent="0.2">
      <c r="A7" s="30">
        <v>6</v>
      </c>
      <c r="B7" s="30" t="s">
        <v>354</v>
      </c>
      <c r="C7" s="30" t="s">
        <v>457</v>
      </c>
      <c r="D7" s="33" t="s">
        <v>355</v>
      </c>
      <c r="E7" s="30" t="s">
        <v>465</v>
      </c>
      <c r="F7" s="30">
        <v>10</v>
      </c>
      <c r="H7" s="33" t="s">
        <v>612</v>
      </c>
    </row>
    <row r="8" spans="1:8" x14ac:dyDescent="0.2">
      <c r="A8" s="30">
        <v>7</v>
      </c>
      <c r="B8" s="30" t="s">
        <v>353</v>
      </c>
    </row>
    <row r="9" spans="1:8" ht="170" x14ac:dyDescent="0.2">
      <c r="A9" s="30">
        <v>8</v>
      </c>
      <c r="B9" s="30" t="s">
        <v>354</v>
      </c>
      <c r="C9" s="30" t="s">
        <v>476</v>
      </c>
      <c r="D9" s="33" t="s">
        <v>609</v>
      </c>
      <c r="F9" s="30">
        <v>21</v>
      </c>
      <c r="H9" s="33" t="s">
        <v>619</v>
      </c>
    </row>
    <row r="10" spans="1:8" ht="102" x14ac:dyDescent="0.2">
      <c r="A10" s="30">
        <v>9</v>
      </c>
      <c r="B10" s="30" t="s">
        <v>354</v>
      </c>
      <c r="C10" s="30" t="s">
        <v>457</v>
      </c>
      <c r="D10" s="33" t="s">
        <v>356</v>
      </c>
      <c r="E10" s="30" t="s">
        <v>466</v>
      </c>
      <c r="F10" s="30">
        <v>16</v>
      </c>
      <c r="G10" s="33" t="s">
        <v>613</v>
      </c>
      <c r="H10" s="33" t="s">
        <v>611</v>
      </c>
    </row>
    <row r="11" spans="1:8" x14ac:dyDescent="0.2">
      <c r="A11" s="30">
        <v>10</v>
      </c>
      <c r="B11" s="30" t="s">
        <v>353</v>
      </c>
    </row>
    <row r="12" spans="1:8" ht="34" x14ac:dyDescent="0.2">
      <c r="A12" s="30">
        <v>11</v>
      </c>
      <c r="B12" s="30" t="s">
        <v>354</v>
      </c>
      <c r="C12" s="30" t="s">
        <v>458</v>
      </c>
      <c r="D12" s="33" t="s">
        <v>614</v>
      </c>
      <c r="E12" s="30" t="s">
        <v>616</v>
      </c>
      <c r="F12" s="30">
        <v>13</v>
      </c>
      <c r="H12" s="33" t="s">
        <v>615</v>
      </c>
    </row>
    <row r="13" spans="1:8" ht="153" x14ac:dyDescent="0.2">
      <c r="A13" s="30">
        <v>12</v>
      </c>
      <c r="B13" s="30" t="s">
        <v>354</v>
      </c>
      <c r="C13" s="30" t="s">
        <v>462</v>
      </c>
      <c r="D13" s="33" t="s">
        <v>357</v>
      </c>
      <c r="F13" s="30">
        <v>62</v>
      </c>
      <c r="H13" s="33" t="s">
        <v>620</v>
      </c>
    </row>
    <row r="14" spans="1:8" x14ac:dyDescent="0.2">
      <c r="A14" s="30">
        <v>13</v>
      </c>
      <c r="B14" s="30" t="s">
        <v>353</v>
      </c>
    </row>
    <row r="15" spans="1:8" ht="102" x14ac:dyDescent="0.2">
      <c r="A15" s="30">
        <v>14</v>
      </c>
      <c r="B15" s="30" t="s">
        <v>354</v>
      </c>
      <c r="C15" s="30" t="s">
        <v>457</v>
      </c>
      <c r="D15" s="33" t="s">
        <v>355</v>
      </c>
      <c r="E15" s="30" t="s">
        <v>467</v>
      </c>
      <c r="F15" s="30">
        <v>6</v>
      </c>
      <c r="H15" s="33" t="s">
        <v>621</v>
      </c>
    </row>
    <row r="16" spans="1:8" ht="153" x14ac:dyDescent="0.2">
      <c r="A16" s="30">
        <v>15</v>
      </c>
      <c r="B16" s="30" t="s">
        <v>354</v>
      </c>
      <c r="C16" s="30" t="s">
        <v>462</v>
      </c>
      <c r="D16" s="33" t="s">
        <v>357</v>
      </c>
      <c r="F16" s="30">
        <v>16</v>
      </c>
      <c r="G16" s="33" t="s">
        <v>622</v>
      </c>
      <c r="H16" s="33" t="s">
        <v>623</v>
      </c>
    </row>
    <row r="17" spans="1:8" ht="153" x14ac:dyDescent="0.2">
      <c r="A17" s="30">
        <v>16</v>
      </c>
      <c r="B17" s="30" t="s">
        <v>354</v>
      </c>
      <c r="C17" s="30" t="s">
        <v>462</v>
      </c>
      <c r="D17" s="33" t="s">
        <v>358</v>
      </c>
      <c r="E17" s="30" t="s">
        <v>624</v>
      </c>
      <c r="F17" s="30">
        <v>31</v>
      </c>
      <c r="H17" s="33" t="s">
        <v>625</v>
      </c>
    </row>
    <row r="18" spans="1:8" x14ac:dyDescent="0.2">
      <c r="A18" s="30">
        <v>17</v>
      </c>
      <c r="B18" s="30" t="s">
        <v>353</v>
      </c>
    </row>
    <row r="19" spans="1:8" ht="51" x14ac:dyDescent="0.2">
      <c r="A19" s="30">
        <v>18</v>
      </c>
      <c r="B19" s="30" t="s">
        <v>354</v>
      </c>
      <c r="C19" s="30" t="s">
        <v>459</v>
      </c>
      <c r="D19" s="33" t="s">
        <v>472</v>
      </c>
      <c r="E19" s="30" t="s">
        <v>627</v>
      </c>
      <c r="F19" s="30">
        <v>5</v>
      </c>
      <c r="H19" s="33" t="s">
        <v>626</v>
      </c>
    </row>
    <row r="20" spans="1:8" x14ac:dyDescent="0.2">
      <c r="A20" s="30">
        <v>19</v>
      </c>
      <c r="B20" s="30" t="s">
        <v>353</v>
      </c>
    </row>
    <row r="21" spans="1:8" ht="34" x14ac:dyDescent="0.2">
      <c r="A21" s="30">
        <v>20</v>
      </c>
      <c r="B21" s="30" t="s">
        <v>354</v>
      </c>
      <c r="C21" s="30" t="s">
        <v>460</v>
      </c>
      <c r="D21" s="33" t="s">
        <v>359</v>
      </c>
      <c r="G21" s="33" t="s">
        <v>447</v>
      </c>
    </row>
    <row r="22" spans="1:8" x14ac:dyDescent="0.2">
      <c r="A22" s="30">
        <v>21</v>
      </c>
      <c r="B22" s="30" t="s">
        <v>353</v>
      </c>
    </row>
    <row r="23" spans="1:8" ht="68" x14ac:dyDescent="0.2">
      <c r="A23" s="30">
        <v>22</v>
      </c>
      <c r="B23" s="30" t="s">
        <v>354</v>
      </c>
      <c r="C23" s="30" t="s">
        <v>458</v>
      </c>
      <c r="D23" s="33" t="s">
        <v>360</v>
      </c>
      <c r="G23" s="33" t="s">
        <v>461</v>
      </c>
    </row>
    <row r="24" spans="1:8" x14ac:dyDescent="0.2">
      <c r="A24" s="30">
        <v>23</v>
      </c>
      <c r="B24" s="30" t="s">
        <v>353</v>
      </c>
    </row>
    <row r="25" spans="1:8" ht="17" x14ac:dyDescent="0.2">
      <c r="A25" s="30">
        <v>24</v>
      </c>
      <c r="B25" s="30" t="s">
        <v>354</v>
      </c>
      <c r="C25" s="30" t="s">
        <v>457</v>
      </c>
      <c r="D25" s="33" t="s">
        <v>355</v>
      </c>
      <c r="E25" s="30" t="s">
        <v>468</v>
      </c>
    </row>
    <row r="26" spans="1:8" ht="17" x14ac:dyDescent="0.2">
      <c r="A26" s="30">
        <v>25</v>
      </c>
      <c r="B26" s="30" t="s">
        <v>354</v>
      </c>
      <c r="C26" s="30" t="s">
        <v>462</v>
      </c>
      <c r="D26" s="33" t="s">
        <v>357</v>
      </c>
      <c r="G26" s="33" t="s">
        <v>448</v>
      </c>
    </row>
    <row r="27" spans="1:8" x14ac:dyDescent="0.2">
      <c r="A27" s="30">
        <v>26</v>
      </c>
      <c r="B27" s="30" t="s">
        <v>353</v>
      </c>
    </row>
    <row r="28" spans="1:8" x14ac:dyDescent="0.2">
      <c r="A28" s="30">
        <v>27</v>
      </c>
      <c r="B28" s="30" t="s">
        <v>353</v>
      </c>
    </row>
    <row r="29" spans="1:8" x14ac:dyDescent="0.2">
      <c r="A29" s="30">
        <v>28</v>
      </c>
      <c r="B29" s="30" t="s">
        <v>353</v>
      </c>
    </row>
    <row r="30" spans="1:8" ht="17" x14ac:dyDescent="0.2">
      <c r="A30" s="30">
        <v>29</v>
      </c>
      <c r="B30" s="30" t="s">
        <v>354</v>
      </c>
      <c r="C30" s="30" t="s">
        <v>458</v>
      </c>
      <c r="D30" s="33" t="s">
        <v>342</v>
      </c>
    </row>
    <row r="31" spans="1:8" x14ac:dyDescent="0.2">
      <c r="A31" s="30">
        <v>30</v>
      </c>
      <c r="B31" s="30" t="s">
        <v>353</v>
      </c>
    </row>
    <row r="32" spans="1:8" x14ac:dyDescent="0.2">
      <c r="A32" s="30">
        <v>31</v>
      </c>
      <c r="B32" s="30" t="s">
        <v>353</v>
      </c>
    </row>
    <row r="33" spans="1:7" ht="17" x14ac:dyDescent="0.2">
      <c r="A33" s="30">
        <v>32</v>
      </c>
      <c r="B33" s="30" t="s">
        <v>354</v>
      </c>
      <c r="C33" s="30" t="s">
        <v>457</v>
      </c>
      <c r="D33" s="33" t="s">
        <v>355</v>
      </c>
      <c r="E33" s="30" t="s">
        <v>469</v>
      </c>
    </row>
    <row r="34" spans="1:7" ht="17" x14ac:dyDescent="0.2">
      <c r="A34" s="30">
        <v>33</v>
      </c>
      <c r="B34" s="30" t="s">
        <v>353</v>
      </c>
      <c r="D34" s="36"/>
      <c r="E34" s="34"/>
      <c r="F34" s="34"/>
      <c r="G34" s="33" t="s">
        <v>455</v>
      </c>
    </row>
    <row r="35" spans="1:7" x14ac:dyDescent="0.2">
      <c r="A35" s="30">
        <v>34</v>
      </c>
      <c r="B35" s="30" t="s">
        <v>353</v>
      </c>
    </row>
    <row r="36" spans="1:7" ht="102" x14ac:dyDescent="0.2">
      <c r="A36" s="30">
        <v>35</v>
      </c>
      <c r="B36" s="30" t="s">
        <v>354</v>
      </c>
      <c r="C36" s="30" t="s">
        <v>459</v>
      </c>
      <c r="D36" s="33" t="s">
        <v>449</v>
      </c>
    </row>
    <row r="37" spans="1:7" ht="17" x14ac:dyDescent="0.2">
      <c r="A37" s="30">
        <v>36</v>
      </c>
      <c r="B37" s="30" t="s">
        <v>354</v>
      </c>
      <c r="C37" s="30" t="s">
        <v>463</v>
      </c>
      <c r="D37" s="33" t="s">
        <v>359</v>
      </c>
      <c r="G37" s="33" t="s">
        <v>450</v>
      </c>
    </row>
    <row r="38" spans="1:7" ht="153" x14ac:dyDescent="0.2">
      <c r="A38" s="30">
        <v>37</v>
      </c>
      <c r="B38" s="30" t="s">
        <v>354</v>
      </c>
      <c r="C38" s="30" t="s">
        <v>457</v>
      </c>
      <c r="D38" s="33" t="s">
        <v>361</v>
      </c>
      <c r="E38" s="30" t="s">
        <v>470</v>
      </c>
      <c r="G38" s="33" t="s">
        <v>451</v>
      </c>
    </row>
    <row r="39" spans="1:7" ht="68" x14ac:dyDescent="0.2">
      <c r="A39" s="30">
        <v>38</v>
      </c>
      <c r="B39" s="30" t="s">
        <v>353</v>
      </c>
      <c r="D39" s="35" t="s">
        <v>452</v>
      </c>
      <c r="E39" s="32"/>
      <c r="F39" s="32"/>
      <c r="G39" s="35" t="s">
        <v>464</v>
      </c>
    </row>
    <row r="40" spans="1:7" ht="85" x14ac:dyDescent="0.2">
      <c r="A40" s="30">
        <v>39</v>
      </c>
      <c r="B40" s="30" t="s">
        <v>354</v>
      </c>
      <c r="C40" s="30" t="s">
        <v>463</v>
      </c>
      <c r="D40" s="33" t="s">
        <v>453</v>
      </c>
      <c r="E40" s="30" t="s">
        <v>471</v>
      </c>
    </row>
    <row r="41" spans="1:7" ht="51" x14ac:dyDescent="0.2">
      <c r="A41" s="30">
        <v>40</v>
      </c>
      <c r="B41" s="30" t="s">
        <v>354</v>
      </c>
      <c r="C41" s="30" t="s">
        <v>462</v>
      </c>
      <c r="D41" s="33" t="s">
        <v>362</v>
      </c>
      <c r="G41" s="33" t="s">
        <v>454</v>
      </c>
    </row>
    <row r="42" spans="1:7" x14ac:dyDescent="0.2">
      <c r="A42" s="30">
        <v>41</v>
      </c>
      <c r="B42" s="30" t="s">
        <v>353</v>
      </c>
    </row>
    <row r="43" spans="1:7" x14ac:dyDescent="0.2">
      <c r="A43" s="30">
        <v>42</v>
      </c>
      <c r="B43" s="30" t="s">
        <v>353</v>
      </c>
    </row>
    <row r="44" spans="1:7" x14ac:dyDescent="0.2">
      <c r="A44" s="30">
        <v>43</v>
      </c>
      <c r="B44" s="30" t="s">
        <v>353</v>
      </c>
    </row>
    <row r="46" spans="1:7" ht="17" x14ac:dyDescent="0.2">
      <c r="B46" s="30" t="s">
        <v>477</v>
      </c>
      <c r="D46" s="33" t="s">
        <v>473</v>
      </c>
    </row>
    <row r="47" spans="1:7" ht="17" x14ac:dyDescent="0.2">
      <c r="B47" s="30" t="s">
        <v>445</v>
      </c>
      <c r="D47" s="33" t="s">
        <v>474</v>
      </c>
    </row>
    <row r="48" spans="1:7" ht="17" x14ac:dyDescent="0.2">
      <c r="D48" s="33" t="s">
        <v>475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B2682-2A07-214E-82C9-441A886D8C1E}">
  <dimension ref="A1:H21"/>
  <sheetViews>
    <sheetView topLeftCell="A17" zoomScale="143" zoomScaleNormal="100" workbookViewId="0">
      <selection activeCell="A21" sqref="A21:F21"/>
    </sheetView>
  </sheetViews>
  <sheetFormatPr baseColWidth="10" defaultRowHeight="16" x14ac:dyDescent="0.2"/>
  <cols>
    <col min="1" max="1" width="12.1640625" customWidth="1"/>
    <col min="3" max="3" width="17" style="33" customWidth="1"/>
    <col min="4" max="4" width="33.5" style="30" customWidth="1"/>
    <col min="5" max="5" width="18.1640625" style="4" customWidth="1"/>
    <col min="6" max="6" width="14.83203125" style="4" customWidth="1"/>
    <col min="7" max="7" width="29.5" style="33" customWidth="1"/>
    <col min="8" max="8" width="27.5" style="33" customWidth="1"/>
  </cols>
  <sheetData>
    <row r="1" spans="1:8" ht="17" x14ac:dyDescent="0.2">
      <c r="A1" s="30" t="s">
        <v>236</v>
      </c>
      <c r="B1" s="33" t="s">
        <v>351</v>
      </c>
      <c r="C1" s="33" t="s">
        <v>456</v>
      </c>
      <c r="D1" s="33" t="s">
        <v>352</v>
      </c>
      <c r="E1" s="33" t="s">
        <v>648</v>
      </c>
      <c r="F1" s="33" t="s">
        <v>610</v>
      </c>
      <c r="G1" s="33" t="s">
        <v>617</v>
      </c>
      <c r="H1" s="33" t="s">
        <v>618</v>
      </c>
    </row>
    <row r="2" spans="1:8" ht="85" x14ac:dyDescent="0.2">
      <c r="A2" s="30">
        <v>6</v>
      </c>
      <c r="B2" s="30" t="s">
        <v>354</v>
      </c>
      <c r="C2" s="33" t="s">
        <v>457</v>
      </c>
      <c r="D2" s="33" t="s">
        <v>355</v>
      </c>
      <c r="E2" s="33" t="s">
        <v>465</v>
      </c>
      <c r="F2" s="33">
        <v>10</v>
      </c>
      <c r="H2" s="33" t="s">
        <v>612</v>
      </c>
    </row>
    <row r="3" spans="1:8" ht="136" x14ac:dyDescent="0.2">
      <c r="A3" s="30">
        <v>8</v>
      </c>
      <c r="B3" s="30" t="s">
        <v>354</v>
      </c>
      <c r="C3" s="33" t="s">
        <v>637</v>
      </c>
      <c r="D3" s="33" t="s">
        <v>645</v>
      </c>
      <c r="E3" s="33" t="s">
        <v>647</v>
      </c>
      <c r="F3" s="33">
        <v>21</v>
      </c>
      <c r="H3" s="33" t="s">
        <v>646</v>
      </c>
    </row>
    <row r="4" spans="1:8" ht="102" x14ac:dyDescent="0.2">
      <c r="A4" s="30">
        <v>9</v>
      </c>
      <c r="B4" s="30" t="s">
        <v>354</v>
      </c>
      <c r="C4" s="33" t="s">
        <v>457</v>
      </c>
      <c r="D4" s="33" t="s">
        <v>356</v>
      </c>
      <c r="E4" s="33" t="s">
        <v>466</v>
      </c>
      <c r="F4" s="33">
        <v>16</v>
      </c>
      <c r="G4" s="33" t="s">
        <v>613</v>
      </c>
      <c r="H4" s="33" t="s">
        <v>611</v>
      </c>
    </row>
    <row r="5" spans="1:8" ht="34" x14ac:dyDescent="0.2">
      <c r="A5" s="30">
        <v>11</v>
      </c>
      <c r="B5" s="30" t="s">
        <v>354</v>
      </c>
      <c r="C5" s="33" t="s">
        <v>458</v>
      </c>
      <c r="D5" s="33" t="s">
        <v>614</v>
      </c>
      <c r="E5" s="33" t="s">
        <v>616</v>
      </c>
      <c r="F5" s="33">
        <v>13</v>
      </c>
      <c r="H5" s="33" t="s">
        <v>615</v>
      </c>
    </row>
    <row r="6" spans="1:8" ht="153" x14ac:dyDescent="0.2">
      <c r="A6" s="30">
        <v>12</v>
      </c>
      <c r="B6" s="30" t="s">
        <v>354</v>
      </c>
      <c r="C6" s="33" t="s">
        <v>462</v>
      </c>
      <c r="D6" s="33" t="s">
        <v>357</v>
      </c>
      <c r="E6" s="33" t="s">
        <v>649</v>
      </c>
      <c r="F6" s="33">
        <v>62</v>
      </c>
      <c r="H6" s="33" t="s">
        <v>620</v>
      </c>
    </row>
    <row r="7" spans="1:8" ht="102" x14ac:dyDescent="0.2">
      <c r="A7" s="30">
        <v>14</v>
      </c>
      <c r="B7" s="30" t="s">
        <v>354</v>
      </c>
      <c r="C7" s="33" t="s">
        <v>457</v>
      </c>
      <c r="D7" s="33" t="s">
        <v>355</v>
      </c>
      <c r="E7" s="33" t="s">
        <v>467</v>
      </c>
      <c r="F7" s="33">
        <v>6</v>
      </c>
      <c r="H7" s="33" t="s">
        <v>621</v>
      </c>
    </row>
    <row r="8" spans="1:8" ht="153" x14ac:dyDescent="0.2">
      <c r="A8" s="30">
        <v>15</v>
      </c>
      <c r="B8" s="30" t="s">
        <v>354</v>
      </c>
      <c r="C8" s="33" t="s">
        <v>462</v>
      </c>
      <c r="D8" s="33" t="s">
        <v>357</v>
      </c>
      <c r="E8" s="33" t="s">
        <v>649</v>
      </c>
      <c r="F8" s="33">
        <v>16</v>
      </c>
      <c r="G8" s="33" t="s">
        <v>622</v>
      </c>
      <c r="H8" s="33" t="s">
        <v>623</v>
      </c>
    </row>
    <row r="9" spans="1:8" ht="136" x14ac:dyDescent="0.2">
      <c r="A9" s="30">
        <v>16</v>
      </c>
      <c r="B9" s="30" t="s">
        <v>354</v>
      </c>
      <c r="C9" s="33" t="s">
        <v>462</v>
      </c>
      <c r="D9" s="33" t="s">
        <v>358</v>
      </c>
      <c r="E9" s="33" t="s">
        <v>624</v>
      </c>
      <c r="F9" s="33">
        <v>31</v>
      </c>
      <c r="H9" s="33" t="s">
        <v>625</v>
      </c>
    </row>
    <row r="10" spans="1:8" ht="51" x14ac:dyDescent="0.2">
      <c r="A10" s="30">
        <v>18</v>
      </c>
      <c r="B10" s="30" t="s">
        <v>354</v>
      </c>
      <c r="C10" s="33" t="s">
        <v>638</v>
      </c>
      <c r="D10" s="33" t="s">
        <v>472</v>
      </c>
      <c r="E10" s="33" t="s">
        <v>650</v>
      </c>
      <c r="F10" s="33">
        <v>5</v>
      </c>
      <c r="H10" s="33" t="s">
        <v>626</v>
      </c>
    </row>
    <row r="11" spans="1:8" ht="51" x14ac:dyDescent="0.2">
      <c r="A11" s="30">
        <v>20</v>
      </c>
      <c r="B11" s="30" t="s">
        <v>354</v>
      </c>
      <c r="C11" s="33" t="s">
        <v>460</v>
      </c>
      <c r="D11" s="33" t="s">
        <v>359</v>
      </c>
      <c r="E11" s="33" t="s">
        <v>628</v>
      </c>
      <c r="F11" s="33">
        <v>60</v>
      </c>
      <c r="H11" s="33" t="s">
        <v>629</v>
      </c>
    </row>
    <row r="12" spans="1:8" ht="153" x14ac:dyDescent="0.2">
      <c r="A12" s="30">
        <v>22</v>
      </c>
      <c r="B12" s="30" t="s">
        <v>354</v>
      </c>
      <c r="C12" s="33" t="s">
        <v>632</v>
      </c>
      <c r="D12" s="33" t="s">
        <v>360</v>
      </c>
      <c r="E12" s="33" t="s">
        <v>651</v>
      </c>
      <c r="F12" s="33">
        <v>42</v>
      </c>
      <c r="G12" s="33" t="s">
        <v>630</v>
      </c>
      <c r="H12" s="28" t="s">
        <v>631</v>
      </c>
    </row>
    <row r="13" spans="1:8" ht="17" x14ac:dyDescent="0.2">
      <c r="A13" s="30">
        <v>24</v>
      </c>
      <c r="B13" s="30" t="s">
        <v>354</v>
      </c>
      <c r="C13" s="33" t="s">
        <v>457</v>
      </c>
      <c r="D13" s="33" t="s">
        <v>355</v>
      </c>
      <c r="E13" s="33" t="s">
        <v>468</v>
      </c>
      <c r="F13" s="33">
        <v>12</v>
      </c>
    </row>
    <row r="14" spans="1:8" ht="170" x14ac:dyDescent="0.2">
      <c r="A14" s="30">
        <v>25</v>
      </c>
      <c r="B14" s="30" t="s">
        <v>354</v>
      </c>
      <c r="C14" s="33" t="s">
        <v>462</v>
      </c>
      <c r="D14" s="33" t="s">
        <v>357</v>
      </c>
      <c r="E14" s="33" t="s">
        <v>653</v>
      </c>
      <c r="F14" s="33"/>
      <c r="H14" s="33" t="s">
        <v>652</v>
      </c>
    </row>
    <row r="15" spans="1:8" ht="85" x14ac:dyDescent="0.2">
      <c r="A15" s="30">
        <v>29</v>
      </c>
      <c r="B15" s="30" t="s">
        <v>354</v>
      </c>
      <c r="C15" s="33" t="s">
        <v>458</v>
      </c>
      <c r="D15" s="33" t="s">
        <v>342</v>
      </c>
      <c r="E15" s="33" t="s">
        <v>616</v>
      </c>
      <c r="F15" s="33">
        <v>10</v>
      </c>
      <c r="H15" s="33" t="s">
        <v>633</v>
      </c>
    </row>
    <row r="16" spans="1:8" ht="17" x14ac:dyDescent="0.2">
      <c r="A16" s="31">
        <v>32</v>
      </c>
      <c r="B16" s="31" t="s">
        <v>354</v>
      </c>
      <c r="C16" s="37" t="s">
        <v>457</v>
      </c>
      <c r="D16" s="37" t="s">
        <v>355</v>
      </c>
      <c r="E16" s="37" t="s">
        <v>469</v>
      </c>
      <c r="F16" s="33">
        <v>10</v>
      </c>
    </row>
    <row r="17" spans="1:8" ht="153" x14ac:dyDescent="0.2">
      <c r="A17" s="30">
        <v>35</v>
      </c>
      <c r="B17" s="30" t="s">
        <v>354</v>
      </c>
      <c r="C17" s="33" t="s">
        <v>638</v>
      </c>
      <c r="D17" s="30" t="s">
        <v>464</v>
      </c>
      <c r="E17" s="33" t="s">
        <v>651</v>
      </c>
      <c r="F17" s="33">
        <v>6</v>
      </c>
      <c r="G17" s="33" t="s">
        <v>634</v>
      </c>
    </row>
    <row r="18" spans="1:8" ht="68" x14ac:dyDescent="0.2">
      <c r="A18" s="30">
        <v>36</v>
      </c>
      <c r="B18" s="30" t="s">
        <v>354</v>
      </c>
      <c r="C18" s="33" t="s">
        <v>639</v>
      </c>
      <c r="D18" s="33" t="s">
        <v>635</v>
      </c>
      <c r="E18" s="33" t="s">
        <v>655</v>
      </c>
      <c r="F18" s="33" t="s">
        <v>636</v>
      </c>
      <c r="H18" s="33" t="s">
        <v>654</v>
      </c>
    </row>
    <row r="19" spans="1:8" ht="68" x14ac:dyDescent="0.2">
      <c r="A19" s="30">
        <v>37</v>
      </c>
      <c r="B19" s="30" t="s">
        <v>354</v>
      </c>
      <c r="C19" s="33" t="s">
        <v>457</v>
      </c>
      <c r="D19" s="33" t="s">
        <v>640</v>
      </c>
      <c r="E19" s="33" t="s">
        <v>657</v>
      </c>
      <c r="F19" s="33">
        <v>5</v>
      </c>
      <c r="H19" s="33" t="s">
        <v>656</v>
      </c>
    </row>
    <row r="20" spans="1:8" ht="255" x14ac:dyDescent="0.2">
      <c r="A20" s="30">
        <v>39</v>
      </c>
      <c r="B20" s="30" t="s">
        <v>354</v>
      </c>
      <c r="C20" s="33" t="s">
        <v>463</v>
      </c>
      <c r="D20" s="33" t="s">
        <v>453</v>
      </c>
      <c r="E20" s="33" t="s">
        <v>658</v>
      </c>
      <c r="F20" s="33" t="s">
        <v>643</v>
      </c>
      <c r="G20" s="33" t="s">
        <v>642</v>
      </c>
      <c r="H20" s="33" t="s">
        <v>641</v>
      </c>
    </row>
    <row r="21" spans="1:8" ht="221" x14ac:dyDescent="0.2">
      <c r="A21" s="30">
        <v>40</v>
      </c>
      <c r="B21" s="30" t="s">
        <v>354</v>
      </c>
      <c r="C21" s="33" t="s">
        <v>462</v>
      </c>
      <c r="D21" s="33" t="s">
        <v>362</v>
      </c>
      <c r="E21" s="33" t="s">
        <v>644</v>
      </c>
      <c r="F21" s="33">
        <v>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3A601-4883-CB47-B532-C963478AB3A2}">
  <dimension ref="A1:E29"/>
  <sheetViews>
    <sheetView zoomScale="143" zoomScaleNormal="222" workbookViewId="0">
      <selection activeCell="E3" sqref="E3"/>
    </sheetView>
  </sheetViews>
  <sheetFormatPr baseColWidth="10" defaultRowHeight="16" x14ac:dyDescent="0.2"/>
  <cols>
    <col min="1" max="1" width="12.1640625" customWidth="1"/>
    <col min="2" max="2" width="17" style="30" customWidth="1"/>
    <col min="3" max="3" width="14.83203125" customWidth="1"/>
    <col min="4" max="4" width="29.5" customWidth="1"/>
    <col min="5" max="5" width="27.5" customWidth="1"/>
  </cols>
  <sheetData>
    <row r="1" spans="1:5" ht="17" x14ac:dyDescent="0.2">
      <c r="A1" s="30" t="s">
        <v>236</v>
      </c>
      <c r="B1" s="33" t="s">
        <v>456</v>
      </c>
      <c r="C1" s="33" t="s">
        <v>610</v>
      </c>
      <c r="D1" s="33" t="s">
        <v>661</v>
      </c>
      <c r="E1" s="33" t="s">
        <v>660</v>
      </c>
    </row>
    <row r="2" spans="1:5" ht="119" x14ac:dyDescent="0.2">
      <c r="A2" s="30">
        <v>6</v>
      </c>
      <c r="B2" s="33" t="s">
        <v>457</v>
      </c>
      <c r="C2" s="33">
        <v>10</v>
      </c>
      <c r="D2" s="33"/>
      <c r="E2" s="35" t="s">
        <v>676</v>
      </c>
    </row>
    <row r="3" spans="1:5" ht="85" x14ac:dyDescent="0.2">
      <c r="A3" s="30">
        <v>8</v>
      </c>
      <c r="B3" s="33" t="s">
        <v>692</v>
      </c>
      <c r="C3" s="33">
        <v>21</v>
      </c>
      <c r="D3" s="33"/>
      <c r="E3" s="35" t="s">
        <v>685</v>
      </c>
    </row>
    <row r="4" spans="1:5" ht="153" x14ac:dyDescent="0.2">
      <c r="A4" s="30">
        <v>8</v>
      </c>
      <c r="B4" s="33" t="s">
        <v>462</v>
      </c>
      <c r="C4" s="33">
        <v>21</v>
      </c>
      <c r="D4" s="33"/>
      <c r="E4" s="33" t="s">
        <v>679</v>
      </c>
    </row>
    <row r="5" spans="1:5" ht="85" x14ac:dyDescent="0.2">
      <c r="A5" s="31">
        <v>8</v>
      </c>
      <c r="B5" s="37" t="s">
        <v>458</v>
      </c>
      <c r="C5" s="37">
        <v>21</v>
      </c>
      <c r="D5" s="37"/>
      <c r="E5" s="37" t="s">
        <v>659</v>
      </c>
    </row>
    <row r="6" spans="1:5" ht="102" x14ac:dyDescent="0.2">
      <c r="A6" s="30">
        <v>9</v>
      </c>
      <c r="B6" s="33" t="s">
        <v>457</v>
      </c>
      <c r="C6" s="33">
        <v>16</v>
      </c>
      <c r="D6" s="33" t="s">
        <v>613</v>
      </c>
      <c r="E6" s="35" t="s">
        <v>677</v>
      </c>
    </row>
    <row r="7" spans="1:5" ht="34" x14ac:dyDescent="0.2">
      <c r="A7" s="30">
        <v>11</v>
      </c>
      <c r="B7" s="33" t="s">
        <v>457</v>
      </c>
      <c r="C7" s="33">
        <v>13</v>
      </c>
      <c r="D7" s="33"/>
      <c r="E7" s="35" t="s">
        <v>680</v>
      </c>
    </row>
    <row r="8" spans="1:5" ht="68" x14ac:dyDescent="0.2">
      <c r="A8" s="30">
        <v>11</v>
      </c>
      <c r="B8" s="33" t="s">
        <v>458</v>
      </c>
      <c r="C8" s="33">
        <v>13</v>
      </c>
      <c r="D8" s="33"/>
      <c r="E8" s="33" t="s">
        <v>682</v>
      </c>
    </row>
    <row r="9" spans="1:5" ht="153" x14ac:dyDescent="0.2">
      <c r="A9" s="30">
        <v>12</v>
      </c>
      <c r="B9" s="33" t="s">
        <v>457</v>
      </c>
      <c r="C9" s="33">
        <v>62</v>
      </c>
      <c r="D9" s="33"/>
      <c r="E9" s="35" t="s">
        <v>681</v>
      </c>
    </row>
    <row r="10" spans="1:5" ht="119" x14ac:dyDescent="0.2">
      <c r="A10" s="30">
        <v>14</v>
      </c>
      <c r="B10" s="33" t="s">
        <v>457</v>
      </c>
      <c r="C10" s="33">
        <v>6</v>
      </c>
      <c r="D10" s="33"/>
      <c r="E10" s="33" t="s">
        <v>662</v>
      </c>
    </row>
    <row r="11" spans="1:5" ht="153" x14ac:dyDescent="0.2">
      <c r="A11" s="30">
        <v>15</v>
      </c>
      <c r="B11" s="33" t="s">
        <v>457</v>
      </c>
      <c r="C11" s="33">
        <v>16</v>
      </c>
      <c r="D11" s="33" t="s">
        <v>622</v>
      </c>
      <c r="E11" s="35" t="s">
        <v>683</v>
      </c>
    </row>
    <row r="12" spans="1:5" ht="153" x14ac:dyDescent="0.2">
      <c r="A12" s="30">
        <v>16</v>
      </c>
      <c r="B12" s="33" t="s">
        <v>457</v>
      </c>
      <c r="C12" s="33">
        <v>31</v>
      </c>
      <c r="D12" s="33"/>
      <c r="E12" s="35" t="s">
        <v>684</v>
      </c>
    </row>
    <row r="13" spans="1:5" ht="17" x14ac:dyDescent="0.2">
      <c r="A13" s="30">
        <v>18</v>
      </c>
      <c r="B13" s="33" t="s">
        <v>457</v>
      </c>
      <c r="C13" s="33">
        <v>5</v>
      </c>
      <c r="D13" s="33"/>
      <c r="E13" s="35" t="s">
        <v>664</v>
      </c>
    </row>
    <row r="14" spans="1:5" ht="17" x14ac:dyDescent="0.2">
      <c r="A14" s="30">
        <v>18</v>
      </c>
      <c r="B14" s="33" t="s">
        <v>663</v>
      </c>
      <c r="C14" s="33">
        <v>5</v>
      </c>
      <c r="E14" s="35" t="s">
        <v>686</v>
      </c>
    </row>
    <row r="15" spans="1:5" ht="102" x14ac:dyDescent="0.2">
      <c r="A15" s="30">
        <v>20</v>
      </c>
      <c r="B15" s="33" t="s">
        <v>665</v>
      </c>
      <c r="C15" s="33">
        <v>60</v>
      </c>
      <c r="D15" s="33"/>
      <c r="E15" s="35" t="s">
        <v>689</v>
      </c>
    </row>
    <row r="16" spans="1:5" ht="153" x14ac:dyDescent="0.2">
      <c r="A16" s="30">
        <v>22</v>
      </c>
      <c r="B16" s="33" t="s">
        <v>690</v>
      </c>
      <c r="C16" s="33">
        <v>42</v>
      </c>
      <c r="D16" s="33" t="s">
        <v>630</v>
      </c>
    </row>
    <row r="17" spans="1:5" ht="221" x14ac:dyDescent="0.2">
      <c r="A17" s="30">
        <v>22</v>
      </c>
      <c r="B17" s="30" t="s">
        <v>692</v>
      </c>
      <c r="C17" s="33">
        <v>42</v>
      </c>
      <c r="E17" s="35" t="s">
        <v>678</v>
      </c>
    </row>
    <row r="18" spans="1:5" ht="255" x14ac:dyDescent="0.2">
      <c r="A18" s="30">
        <v>22</v>
      </c>
      <c r="B18" s="30" t="s">
        <v>458</v>
      </c>
      <c r="C18" s="33">
        <v>42</v>
      </c>
      <c r="E18" s="46" t="s">
        <v>693</v>
      </c>
    </row>
    <row r="19" spans="1:5" ht="17" x14ac:dyDescent="0.2">
      <c r="A19" s="30">
        <v>24</v>
      </c>
      <c r="B19" s="33" t="s">
        <v>457</v>
      </c>
      <c r="C19" s="33">
        <v>12</v>
      </c>
      <c r="D19" s="33"/>
      <c r="E19" s="35" t="s">
        <v>666</v>
      </c>
    </row>
    <row r="20" spans="1:5" ht="102" x14ac:dyDescent="0.2">
      <c r="A20" s="30">
        <v>25</v>
      </c>
      <c r="B20" s="33" t="s">
        <v>457</v>
      </c>
      <c r="C20" s="33">
        <v>64</v>
      </c>
      <c r="D20" s="33"/>
      <c r="E20" s="35" t="s">
        <v>687</v>
      </c>
    </row>
    <row r="21" spans="1:5" ht="136" x14ac:dyDescent="0.2">
      <c r="A21" s="30">
        <v>29</v>
      </c>
      <c r="B21" s="33" t="s">
        <v>458</v>
      </c>
      <c r="C21" s="33">
        <v>10</v>
      </c>
      <c r="D21" s="33"/>
      <c r="E21" s="35" t="s">
        <v>668</v>
      </c>
    </row>
    <row r="22" spans="1:5" ht="17" x14ac:dyDescent="0.2">
      <c r="A22" s="31">
        <v>32</v>
      </c>
      <c r="B22" s="37" t="s">
        <v>457</v>
      </c>
      <c r="C22" s="33">
        <v>10</v>
      </c>
      <c r="D22" s="33"/>
      <c r="E22" s="35" t="s">
        <v>667</v>
      </c>
    </row>
    <row r="23" spans="1:5" ht="119" x14ac:dyDescent="0.2">
      <c r="A23" s="30">
        <v>35</v>
      </c>
      <c r="B23" s="33" t="s">
        <v>457</v>
      </c>
      <c r="C23" s="33">
        <v>6</v>
      </c>
      <c r="D23" s="33" t="s">
        <v>669</v>
      </c>
    </row>
    <row r="24" spans="1:5" ht="102" x14ac:dyDescent="0.2">
      <c r="A24" s="30">
        <v>35</v>
      </c>
      <c r="B24" s="30" t="s">
        <v>458</v>
      </c>
      <c r="C24" s="33">
        <v>6</v>
      </c>
      <c r="D24" s="4" t="s">
        <v>670</v>
      </c>
    </row>
    <row r="25" spans="1:5" ht="85" x14ac:dyDescent="0.2">
      <c r="A25" s="30">
        <v>36</v>
      </c>
      <c r="B25" s="33" t="s">
        <v>457</v>
      </c>
      <c r="C25" s="33" t="s">
        <v>636</v>
      </c>
      <c r="D25" s="33"/>
      <c r="E25" s="35" t="s">
        <v>691</v>
      </c>
    </row>
    <row r="26" spans="1:5" ht="85" x14ac:dyDescent="0.2">
      <c r="A26" s="30">
        <v>37</v>
      </c>
      <c r="B26" s="33" t="s">
        <v>457</v>
      </c>
      <c r="C26" s="33">
        <v>5</v>
      </c>
      <c r="D26" s="33"/>
      <c r="E26" s="33" t="s">
        <v>688</v>
      </c>
    </row>
    <row r="27" spans="1:5" ht="153" x14ac:dyDescent="0.2">
      <c r="A27" s="30">
        <v>39</v>
      </c>
      <c r="B27" s="33" t="s">
        <v>671</v>
      </c>
      <c r="C27" s="33" t="s">
        <v>643</v>
      </c>
      <c r="E27" s="33" t="s">
        <v>672</v>
      </c>
    </row>
    <row r="28" spans="1:5" ht="289" x14ac:dyDescent="0.2">
      <c r="A28" s="30">
        <v>39</v>
      </c>
      <c r="B28" s="30" t="s">
        <v>462</v>
      </c>
      <c r="C28" s="33" t="s">
        <v>643</v>
      </c>
      <c r="D28" s="33" t="s">
        <v>673</v>
      </c>
      <c r="E28" s="35" t="s">
        <v>674</v>
      </c>
    </row>
    <row r="29" spans="1:5" ht="119" x14ac:dyDescent="0.2">
      <c r="A29" s="30">
        <v>40</v>
      </c>
      <c r="B29" s="33" t="s">
        <v>457</v>
      </c>
      <c r="C29" s="33">
        <v>15</v>
      </c>
      <c r="E29" s="47" t="s">
        <v>675</v>
      </c>
    </row>
  </sheetData>
  <autoFilter ref="A1:E29" xr:uid="{0673A601-4883-CB47-B532-C963478AB3A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Sheet2</vt:lpstr>
      <vt:lpstr>Papers</vt:lpstr>
      <vt:lpstr>RQ1ver3</vt:lpstr>
      <vt:lpstr>RQ1</vt:lpstr>
      <vt:lpstr>RQ2</vt:lpstr>
      <vt:lpstr>RQ2ver3</vt:lpstr>
      <vt:lpstr>RQ3</vt:lpstr>
      <vt:lpstr>RQ3ver2</vt:lpstr>
      <vt:lpstr>RQ4</vt:lpstr>
      <vt:lpstr>RQ5</vt:lpstr>
      <vt:lpstr>RQ5ver2</vt:lpstr>
      <vt:lpstr>RQ5ver3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Chen</dc:creator>
  <cp:lastModifiedBy>Yu Chen</cp:lastModifiedBy>
  <dcterms:created xsi:type="dcterms:W3CDTF">2025-08-04T18:33:31Z</dcterms:created>
  <dcterms:modified xsi:type="dcterms:W3CDTF">2026-02-19T15:27:40Z</dcterms:modified>
</cp:coreProperties>
</file>