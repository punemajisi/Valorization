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https://kuleuven-my.sharepoint.com/personal/yu_chen_kuleuven_be/Documents/SystemeticReview/"/>
    </mc:Choice>
  </mc:AlternateContent>
  <xr:revisionPtr revIDLastSave="4258" documentId="8_{12EBB27D-7FA7-684C-A6B4-2CCD17208E80}" xr6:coauthVersionLast="47" xr6:coauthVersionMax="47" xr10:uidLastSave="{D20DBF44-FAC9-C04B-8D54-DEA15C89CBC2}"/>
  <bookViews>
    <workbookView xWindow="0" yWindow="500" windowWidth="28800" windowHeight="17500" xr2:uid="{AA562781-81E1-DB45-925B-786644658A62}"/>
  </bookViews>
  <sheets>
    <sheet name="Overview" sheetId="1" r:id="rId1"/>
    <sheet name="Demographics" sheetId="2" r:id="rId2"/>
    <sheet name="Diagnosis performance" sheetId="3" r:id="rId3"/>
    <sheet name="Hedges g" sheetId="4" r:id="rId4"/>
    <sheet name="Quality assessment" sheetId="5" r:id="rId5"/>
    <sheet name="Quality assesment 2" sheetId="6" r:id="rId6"/>
  </sheets>
  <definedNames>
    <definedName name="_xlnm._FilterDatabase" localSheetId="0" hidden="1">Overview!$A$1:$Q$1</definedName>
    <definedName name="_xlnm._FilterDatabase" localSheetId="4" hidden="1">'Quality assessment'!$A$1:$I$1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6" l="1"/>
  <c r="H20" i="6"/>
  <c r="H22" i="6"/>
  <c r="H32" i="6"/>
  <c r="H31" i="6"/>
  <c r="H30" i="6"/>
  <c r="H29" i="6"/>
  <c r="H28" i="6"/>
  <c r="H27" i="6"/>
  <c r="H26" i="6"/>
  <c r="H25" i="6"/>
  <c r="H24" i="6"/>
  <c r="H23" i="6"/>
  <c r="H18" i="6"/>
  <c r="H17" i="6"/>
  <c r="H16" i="6"/>
  <c r="H15" i="6"/>
  <c r="H14" i="6"/>
  <c r="H13" i="6"/>
  <c r="H12" i="6"/>
  <c r="H11" i="6"/>
  <c r="H10" i="6"/>
  <c r="H9" i="6"/>
  <c r="H8" i="6"/>
  <c r="H7" i="6"/>
  <c r="H6" i="6"/>
  <c r="H5" i="6"/>
  <c r="H4" i="6"/>
  <c r="H3" i="6"/>
  <c r="H2" i="6"/>
  <c r="K24" i="4"/>
  <c r="K28" i="4"/>
  <c r="L28" i="4" s="1"/>
  <c r="K26" i="4"/>
  <c r="L26" i="4" s="1"/>
  <c r="K27" i="4"/>
  <c r="L27" i="4" s="1"/>
  <c r="L25" i="4"/>
  <c r="K25" i="4"/>
  <c r="L24" i="4"/>
  <c r="K13" i="4"/>
  <c r="L13" i="4" s="1"/>
  <c r="K14" i="4"/>
  <c r="L14" i="4" s="1"/>
  <c r="K15" i="4"/>
  <c r="L15" i="4" s="1"/>
  <c r="K16" i="4"/>
  <c r="L16" i="4" s="1"/>
  <c r="H4" i="5"/>
  <c r="H2" i="5"/>
  <c r="H5" i="5"/>
  <c r="H6" i="5"/>
  <c r="H7" i="5"/>
  <c r="H8" i="5"/>
  <c r="H9" i="5"/>
  <c r="H10" i="5"/>
  <c r="H11" i="5"/>
  <c r="H12" i="5"/>
  <c r="H13" i="5"/>
  <c r="H14" i="5"/>
  <c r="H15" i="5"/>
  <c r="H16" i="5"/>
  <c r="H17" i="5"/>
  <c r="H18" i="5"/>
  <c r="H19" i="5"/>
  <c r="H20" i="5"/>
  <c r="H21" i="5"/>
  <c r="H22" i="5"/>
  <c r="H23" i="5"/>
  <c r="H24" i="5"/>
  <c r="H26" i="5"/>
  <c r="H27" i="5"/>
  <c r="H25" i="5"/>
  <c r="H28" i="5"/>
  <c r="H29" i="5"/>
  <c r="H30" i="5"/>
  <c r="H31" i="5"/>
  <c r="H32" i="5"/>
  <c r="H33" i="5"/>
  <c r="H34" i="5"/>
  <c r="H35" i="5"/>
  <c r="H36" i="5"/>
  <c r="H39" i="5"/>
  <c r="H38" i="5"/>
  <c r="H37" i="5"/>
  <c r="H40" i="5"/>
  <c r="H42" i="5"/>
  <c r="H41" i="5"/>
  <c r="H43" i="5"/>
  <c r="H44" i="5"/>
  <c r="H45" i="5"/>
  <c r="H46" i="5"/>
  <c r="H47" i="5"/>
  <c r="H48" i="5"/>
  <c r="H49" i="5"/>
  <c r="H50" i="5"/>
  <c r="H51" i="5"/>
  <c r="H3" i="5"/>
</calcChain>
</file>

<file path=xl/sharedStrings.xml><?xml version="1.0" encoding="utf-8"?>
<sst xmlns="http://schemas.openxmlformats.org/spreadsheetml/2006/main" count="1371" uniqueCount="848">
  <si>
    <t>System</t>
  </si>
  <si>
    <t>description</t>
  </si>
  <si>
    <t>User study</t>
  </si>
  <si>
    <t>papers</t>
  </si>
  <si>
    <t>#</t>
  </si>
  <si>
    <t>Game type</t>
  </si>
  <si>
    <t>Game data used for evalutaion</t>
  </si>
  <si>
    <t>Methodology for game design</t>
  </si>
  <si>
    <t>Variation of Free Cell</t>
  </si>
  <si>
    <t>No</t>
  </si>
  <si>
    <t>Cognitive function evaluated in games</t>
  </si>
  <si>
    <t>Average user efficiency, outcome, time to completion of session</t>
  </si>
  <si>
    <t>Home monitoring of computer interactions for the early detection of dementia</t>
  </si>
  <si>
    <t>Home-based cognitive monitoring using embedded measures of verbal fluency in a computer word game</t>
  </si>
  <si>
    <t>Word games</t>
  </si>
  <si>
    <t>Verbal Fluency</t>
  </si>
  <si>
    <t>Average time to generate a letter, Proportion of correctly generated words, Word frequency representing word complexity</t>
  </si>
  <si>
    <t>Two dimensions blackJack</t>
  </si>
  <si>
    <t>Divided Attention</t>
  </si>
  <si>
    <t>Cards placement</t>
  </si>
  <si>
    <t>Divided attention in computer game play: Analysis utilizing unobtrusive health monitoring</t>
  </si>
  <si>
    <t>Fun Cube</t>
  </si>
  <si>
    <t>Combine wireless sensor network and multimedia technologies for cognitive function assessment</t>
  </si>
  <si>
    <t>scientific validation methods</t>
  </si>
  <si>
    <t>Gamification</t>
  </si>
  <si>
    <t>Score for each test</t>
  </si>
  <si>
    <t>VAP-S</t>
  </si>
  <si>
    <t>An Innovative Virtual Reality System for Mild Cognitive Impairment: Diagnosis and Evaluation</t>
  </si>
  <si>
    <t>Virtual reality supermarket experience</t>
  </si>
  <si>
    <t>TAM</t>
  </si>
  <si>
    <t>Time history, Correct rate, error rate</t>
  </si>
  <si>
    <t>VREAD</t>
  </si>
  <si>
    <t>VREAD : A Virtual Simulation to Investigate Cognitive Function in the Elderly</t>
  </si>
  <si>
    <t>Not Mentioned</t>
  </si>
  <si>
    <t>CWG &amp; CSG</t>
  </si>
  <si>
    <t>SmartAgeing</t>
  </si>
  <si>
    <t>Basic Information</t>
  </si>
  <si>
    <t>Result</t>
  </si>
  <si>
    <t>Evaluation study design</t>
  </si>
  <si>
    <t>Groud truth</t>
  </si>
  <si>
    <t>RQ1A</t>
  </si>
  <si>
    <t>RQ1B</t>
  </si>
  <si>
    <t>RQ1C</t>
  </si>
  <si>
    <t>RQ2A</t>
  </si>
  <si>
    <t>RQ2B</t>
  </si>
  <si>
    <t>RQ3A</t>
  </si>
  <si>
    <t>RQ3B</t>
  </si>
  <si>
    <t>RQ3C</t>
  </si>
  <si>
    <t>/</t>
  </si>
  <si>
    <t>All cognitively healthy</t>
  </si>
  <si>
    <t>Word search game and Sudoku</t>
  </si>
  <si>
    <t>Design of games for measurement of cognitive impairment</t>
  </si>
  <si>
    <t>SmartAgeing: a 3D serious game for early detection of mild cognitive impairments</t>
  </si>
  <si>
    <t>3D home space, first-person perspective, five tasks: finding objects, turn on the radio and linsten, telephone use and late call back of truning off TV, recall the objects in the first task.</t>
  </si>
  <si>
    <t>executive functions (reasoning and planning), attention (selected and divided), memory (short and long term, perspective), orientation (visuo-spatial)</t>
  </si>
  <si>
    <t>Serious games for screening pre-dementia conditions: from virtuality to reality? A pilot project</t>
  </si>
  <si>
    <t>FitForAll</t>
  </si>
  <si>
    <t>Exergames for assessment in active and healthy aging: Emerging trends and potentialities</t>
  </si>
  <si>
    <t>Kitchen and Cooking</t>
  </si>
  <si>
    <t>Kitchen and cooking,’ a serious game for mild cognitive impairment and Alzheimer’s disease: a pilot study</t>
  </si>
  <si>
    <t>participants can play four different scenarios/recipes: pizza, yogurt cake, chicken breast in cream sauce, and finally salmon wrap</t>
  </si>
  <si>
    <t>10 cm analogical scale for satisfaction, PANAS for emotion, Piper Fatigue Scale</t>
  </si>
  <si>
    <t>gnosis, praxis, executive function</t>
  </si>
  <si>
    <t>time spent, error</t>
  </si>
  <si>
    <t>Comprehensive clincial diagnosis</t>
  </si>
  <si>
    <t>9 MCI and 11 AD</t>
  </si>
  <si>
    <t>Gnosis [r(20) =−0.68, p = 0.001] and praxis [r(20) =−0.53, p = 0.016] significantly correlated to MMSE, executive functions significantly correalted to Victoria Stroop Test</t>
  </si>
  <si>
    <t>Find the pair</t>
  </si>
  <si>
    <t>Monitoring the early signs of cognitive decline in elderly by computer games: An MRI study</t>
  </si>
  <si>
    <t>Two cards can be flipped face up in each turn by clicking on them. If the shapes (pictures) on the cards match, they disappear.</t>
  </si>
  <si>
    <t>number of trials to complete the memory game</t>
  </si>
  <si>
    <t>Petersen criteria</t>
  </si>
  <si>
    <t xml:space="preserve"> 34 Health and 12 MCI</t>
  </si>
  <si>
    <t>The MMSE score and the delayed retrieval subscore of the RAVLT did not correlate with the memory game results, Healthy controls needed less trials and less time</t>
  </si>
  <si>
    <t>Virtual Action Planning Museum (VAP-M)</t>
  </si>
  <si>
    <t>Find and remember artifacts in a museum</t>
  </si>
  <si>
    <t>prospective memory, visuospatial working memory, and executive function, memory</t>
  </si>
  <si>
    <t>we found that the aMCI patients’ performances in VAP-M were inferior to that of the healthy controls.</t>
  </si>
  <si>
    <t>Reaction time, error</t>
  </si>
  <si>
    <t>25 aMCI, 25 controls</t>
  </si>
  <si>
    <t>whack-a-mole</t>
  </si>
  <si>
    <t>Early detection of cognitive impairments with the smart ageing serious game</t>
  </si>
  <si>
    <t>SUS with 4 questions extended</t>
  </si>
  <si>
    <t>Combining qualitative and quantitative methods to analyze Serious Games outcomes: a pilot study for a new cognitive screening tool*</t>
  </si>
  <si>
    <t>a navigation task, a shopping task, a cooking task and a table preparation task</t>
  </si>
  <si>
    <t>SUS, NASA-TLX</t>
  </si>
  <si>
    <t>Smartkuber</t>
  </si>
  <si>
    <t>A tangible AR game with tasks to competition</t>
  </si>
  <si>
    <t>iGEQ</t>
  </si>
  <si>
    <t>Attention, Memory, Motor skills, Visual &amp; spatial processing, Language, Executive functions: problem solving, decision making, working memory, flexibility, response inhibition</t>
  </si>
  <si>
    <t>Scores in each tasks (related to time)</t>
  </si>
  <si>
    <t>MoCA</t>
  </si>
  <si>
    <t>significant correlation between the Smartkuber mean total scores and the MoCA total scores (r[11] = 0.81, p = 0.001) and it also demonstrated a high statistical power of 0.95.</t>
  </si>
  <si>
    <t>Evaluation of cognitive functions of aged patients using video games</t>
  </si>
  <si>
    <t>Vocabulary, Attention, Spatial memory, Working memory, Arithmetic</t>
  </si>
  <si>
    <t xml:space="preserve">Scores in each tasks </t>
  </si>
  <si>
    <t>Crteria not mentioned</t>
  </si>
  <si>
    <t>20 young/18 aged/16 cognitive impairment (MMSE&lt;24)</t>
  </si>
  <si>
    <t>Mean R-value between the 8 games and the MMSE is 0.62 and 0.65 for the ACE-R. R^2 for linear is 0.5, and for quadratic is 0.69.</t>
  </si>
  <si>
    <t>Design, Implementation, and Wide Pilot Deployment of FitForAll: An Easy to use Exergaming Platform Improving Physical Fitness and Life Quality of Senior Citizens</t>
  </si>
  <si>
    <t>MMSE</t>
  </si>
  <si>
    <t>A serious game for clinical assessment of cognitive status: Validation study</t>
  </si>
  <si>
    <t>Rapid Deployment and Evaluation of Mobile Serious Games: A Cognitive Assessment Case Study</t>
  </si>
  <si>
    <t>computer version of whack-a-mole, a carnival game</t>
  </si>
  <si>
    <t>reaction time, accuracy</t>
  </si>
  <si>
    <t>MoCA,MMSE</t>
  </si>
  <si>
    <t>Unknown</t>
  </si>
  <si>
    <t>lower MMSE scores to be associated with longer reaction times can be seen.There was also a significant difference between MoCA groups for game RT (U =370.0, z =–3.2; P =.03).</t>
  </si>
  <si>
    <t>Play Time per game in minutes , Number of words found per game , Number of Words found per minute (Word Rate), CSG - Game completion time in minutes , Number of Errors per minute</t>
  </si>
  <si>
    <t>The acceptability of TV-based game platforms as an instrument to support the cognitive evaluation of senior adults at home</t>
  </si>
  <si>
    <t>card pair, find diffrences, sequence, puzzle, QnA.</t>
  </si>
  <si>
    <t>Smart aging platform for evaluating cognitive functions in aging: A comparison with the MoCA in a normal population</t>
  </si>
  <si>
    <t>correct rate, positions, times, and actions</t>
  </si>
  <si>
    <t>Correlation</t>
  </si>
  <si>
    <t>All assumed healthy, divided into three group by MoCA score</t>
  </si>
  <si>
    <t>MoCA groups significantly differed in most of the Smart Aging indices considered, in particular as concerns accuracy (ps &lt; 0.001) and time (ps &lt; 0.001) for completing most of the platform tasks.</t>
  </si>
  <si>
    <t>Score</t>
  </si>
  <si>
    <t>27 normal, 17 MCI, 15 moderate to severe cognitive dysfunction</t>
  </si>
  <si>
    <t>Accuracy 0.627/0.846 (MMSE/MoCA)</t>
  </si>
  <si>
    <t>Can card games be used to assess mild cognitive impairment? A study of Klondike Solitaire and cognitive functions</t>
  </si>
  <si>
    <t>Solitare</t>
  </si>
  <si>
    <t>Mental flexibility,Inhibitory control,Working memory,Selective attention,Visuospatial ability, Object recognition,Apraxia,Cognitive planning,Processing speed</t>
  </si>
  <si>
    <t>Player actions</t>
  </si>
  <si>
    <t>Development of a Game-based Cognitive Measures System for Elderly on the Basis of Mini-Mental State Examination</t>
  </si>
  <si>
    <t>SUS</t>
  </si>
  <si>
    <t>Orientation, Attention, Memory, Language, Speaking and behavior, Construction ability</t>
  </si>
  <si>
    <t>Counting Sheep</t>
  </si>
  <si>
    <t>Serious games for cognitive assessment with older adults: A preliminary study</t>
  </si>
  <si>
    <t>identify the number of sheep on the screen each round</t>
  </si>
  <si>
    <t>Attention, Concentration and Working Memory, Memory</t>
  </si>
  <si>
    <t>game level, correct number, time</t>
  </si>
  <si>
    <t>55 HC, 51 CI</t>
  </si>
  <si>
    <t>Highest correlation coefficient is 0.633 with p value &lt;0.001</t>
  </si>
  <si>
    <t>Design process and preliminary psychometric study of a video game to detect cognitive impairment in senior adults</t>
  </si>
  <si>
    <t>Virtual shopping experience gamifies California Verbal Learning Test</t>
  </si>
  <si>
    <t>Participatory Design</t>
  </si>
  <si>
    <t>epsodic memory</t>
  </si>
  <si>
    <t>final game scores; total number of movements or completed levels;individual responses, accuracy, speed, right actions, errors and omissions.</t>
  </si>
  <si>
    <t>Machine Learning</t>
  </si>
  <si>
    <t>8 HC, 3 MCI, 5AD</t>
  </si>
  <si>
    <t>Precision 0.69 with random forest</t>
  </si>
  <si>
    <t>Fun cube based brain gym cognitive function assessment system</t>
  </si>
  <si>
    <t>memory, attention, abstract, orientation, naming, and execution</t>
  </si>
  <si>
    <t>31 for correlation with MoCA / 42 HC, 65 MCI for discrimination</t>
  </si>
  <si>
    <t>0.83 Pearson correlation coefficient between the system and MoCA</t>
  </si>
  <si>
    <t>physchologists check</t>
  </si>
  <si>
    <t>Neuro-World</t>
  </si>
  <si>
    <t>Estimating Mini Mental State Examination Scores using Game-Specific Performance Values: A Preliminary Study</t>
  </si>
  <si>
    <t>difficulty level, time, score</t>
  </si>
  <si>
    <t>All MCI</t>
  </si>
  <si>
    <t>The root mean square error (RMSE) = 0.58 and normalized RMSE (NRMSE) were 5.3%</t>
  </si>
  <si>
    <t>Nothing is More Revealing than Body Movement: Measuring the Movement Kinematics in VR to Screen Dementia</t>
  </si>
  <si>
    <t>UnKnown</t>
  </si>
  <si>
    <t>22 HC, 20 MCI</t>
  </si>
  <si>
    <t>with 74% accuracy, 75% sensitivity, and 72.7% specificity.</t>
  </si>
  <si>
    <t>Cognitive screening of older adults using serious games: An empirical study</t>
  </si>
  <si>
    <t xml:space="preserve">The variable “Total Score” was the one that presented the best correlation performance with the three games used in the investigation in both samples. </t>
  </si>
  <si>
    <t>Episodix: a serious game to detect cognitive impairment in senior adults. A psychometric study</t>
  </si>
  <si>
    <t>Test battery</t>
  </si>
  <si>
    <t>28 HC, 16MCI, 20AD</t>
  </si>
  <si>
    <t>Gradient Boosting 0,92, best model accuracy</t>
  </si>
  <si>
    <t>Monitoring Health Status in Long Term Care Through the Use of Ambient Technologies and Serious Games</t>
  </si>
  <si>
    <t>correlations of −.558, −.339, and .565 (all with p &lt; .001) were obtained between game response times (RT) and the MMSE, MoCA, and CAM scores, respectively</t>
  </si>
  <si>
    <t>Towards long‑term tracking and detection of early dementia : a computerized cognitive test battery with gamification</t>
  </si>
  <si>
    <t>Virtual ADL+ House</t>
  </si>
  <si>
    <t>11 tasks in VR environment. Tasks are daily activities like cleaning, cooking, transpotation, finance,  telephone using…</t>
  </si>
  <si>
    <t>Attention, processing speed, language, visuospatial, memory, executive functioning</t>
  </si>
  <si>
    <t>Human-Computer Interaction Approaches for the Assessment and the Practice of the Cognitive Capabilities of Elderly People</t>
  </si>
  <si>
    <t>supermarket vitual environment + shape-sorter immersive vitual environment</t>
  </si>
  <si>
    <t>attention and memory, visual perception and reasoning</t>
  </si>
  <si>
    <t>scores , time</t>
  </si>
  <si>
    <t>Pfeiffer, GPCog</t>
  </si>
  <si>
    <t>the highest parameter is “payment time" with coefficient 0.84 p&lt;0.001</t>
  </si>
  <si>
    <t>Virtual Reality for Screening of Cognitive Function in Older Persons: Comparative Study</t>
  </si>
  <si>
    <t>RE@CH</t>
  </si>
  <si>
    <t>Questionnaire at the end of study</t>
  </si>
  <si>
    <t>Perceptual-Motor, Learning and Memory, Executive Function</t>
  </si>
  <si>
    <t>performance scores</t>
  </si>
  <si>
    <t>The area under the curve (AUC) was found to be 0.821 (95% CI 0.714-0.928). total performance socre discrimnation with p&lt;0.001; AMT (0.312, P=.02), MMSE (0.373, P=.003), and MoCA (0.427, P&lt;.001).</t>
  </si>
  <si>
    <t>Dr. Solitaire</t>
  </si>
  <si>
    <t>Screening for Mild Cognitive Impairment through Digital Biomarkers of Cognitive Performance in Games</t>
  </si>
  <si>
    <t>Remote Assessment of Cognitive Impairment Level Based on Serious Mobile Game Performance: An Initial Proof of Concept</t>
  </si>
  <si>
    <t>memory and attention</t>
  </si>
  <si>
    <t>WarCAT</t>
  </si>
  <si>
    <t>Serious Games and ML for Detecting MCI</t>
  </si>
  <si>
    <t>Card game. Higher value of the card show in the round win the score</t>
  </si>
  <si>
    <t>A Machine Learning Approach to the Early Diagnosis of Alzheimer’s Disease Based on an Ensemble of Classifiers</t>
  </si>
  <si>
    <t>Touchscreen games to detect cognitive impairment in senior adults. A user-interaction pilot study</t>
  </si>
  <si>
    <t>episodic memory,attention,semantic memory,Working memory,procedural memory,motor coordination,executive functions,visual gnosias</t>
  </si>
  <si>
    <t>Panoramix(Episodix)</t>
  </si>
  <si>
    <t xml:space="preserve"> Puzzle, Level,  Point,  Progression, Time Pressure </t>
  </si>
  <si>
    <t>Augmented Reality for Early Alzheimer’s Disease Diagnosis</t>
  </si>
  <si>
    <t>Hololens AR game, players interact with vitual object in real environments.</t>
  </si>
  <si>
    <t>Age-associated capacity to progress when playing cognitive mobile games: Ecological retrospective observational study</t>
  </si>
  <si>
    <t>Gamification technique to estimate mini mental state examination scores: A validation study</t>
  </si>
  <si>
    <t>Holey Moley</t>
  </si>
  <si>
    <t>score</t>
  </si>
  <si>
    <t>35 HC, 12 CI (classify by cutoff score, some participants had extremely low scores)</t>
  </si>
  <si>
    <t>sensitivity 100%, specificiy 97.2%, AUC 0.953, p&lt;0.01</t>
  </si>
  <si>
    <t>Machine-Learning-Based Assessment Method for Early-Stage Neurocognitive Impairment by an Immersive Virtual Supermarket</t>
  </si>
  <si>
    <t>memory, executive function and calculation.</t>
  </si>
  <si>
    <t>determined by clinicians</t>
  </si>
  <si>
    <t>navigation paths， number of items over-buy, number of items less-buy and task completing time.</t>
  </si>
  <si>
    <t>six ML algorithms all almost reached perfect result on F1</t>
  </si>
  <si>
    <t>whack-a-mole and hit-the-ball</t>
  </si>
  <si>
    <t>Evaluation of the Reaction Time and Accuracy Rate in Normal Subjects, MCI, and Dementia Using Serious Games</t>
  </si>
  <si>
    <t>whack-a-mole without distractors and hit-the-ball is a similar one with disctractors</t>
  </si>
  <si>
    <t>16HC, 10MCI, 11AD</t>
  </si>
  <si>
    <t>Not Mentioned, MMSE as quatitative evaluator</t>
  </si>
  <si>
    <t>accuracy rate, response time</t>
  </si>
  <si>
    <t>reaction-time analysis best performed is the fast speed time-unlimited mode. With one way ANOVA F=9.114 p=0.001</t>
  </si>
  <si>
    <t>Dissecting Digital Card Games to Yield Digital Biomarkers for the Assessment of Mild Cognitive Impairment: Methodological Approach and Exploratory Study</t>
  </si>
  <si>
    <t>23 HC, 23 MCI</t>
  </si>
  <si>
    <t>Clinical examination</t>
  </si>
  <si>
    <t>GLMM, 12 digital biomarkers differed significantly between MCI and HC</t>
  </si>
  <si>
    <t>Detecting Mild Cognitive Impairment via Digital Biomarkers of Cognitive Performance Found in Klondike Solitaire: A Machine-Learning Study</t>
  </si>
  <si>
    <t>F1 score, Gradient Boosting classifier: 0.821; Nu-Support Vector classifier,  0.824; Extra Trees classifier, 0.811</t>
  </si>
  <si>
    <t>A Comparison of Traditional and Serious Game-Based Digital Markers of Cognition in Older Adults with Mild Cognitive Impairment and Healthy Controls</t>
  </si>
  <si>
    <t>Virtual Supermarket</t>
  </si>
  <si>
    <t>Virtual Supermarket Test (VST)</t>
  </si>
  <si>
    <t>visual and verbal memory, executive function, attention and spatial navigation</t>
  </si>
  <si>
    <t>EEG signal, 3 VST tasks score, game duration</t>
  </si>
  <si>
    <t>Diagnosis was conferred by a neurologist / neuropsychological test battery</t>
  </si>
  <si>
    <t>33 subjective cognitive decline (SCD), 33MCI</t>
  </si>
  <si>
    <t xml:space="preserve"> Further evidence in EEG signal correlated to VST game and MoCA score.</t>
  </si>
  <si>
    <t>Detection and Monitoring of Alzheimer’s Disease Using Serious Games—A Study</t>
  </si>
  <si>
    <t>memory, spatial navigation, math, attention</t>
  </si>
  <si>
    <t>Physical Training In-Game Metrics for Cognitive Assessment: Evidence from Extended Trials with the Fitforall Exergaming Platform</t>
  </si>
  <si>
    <t>goal achievement/ correct rate/time</t>
  </si>
  <si>
    <t>expert diagnosis</t>
  </si>
  <si>
    <t>38 HC, 64 MCI, 14 Mild Dementia (MD)</t>
  </si>
  <si>
    <t>No linear relationship between game metrics and cognitive assessment. Classification: MCI v.s. HC = 73.53%, higher than MMSE, lower than MoCA</t>
  </si>
  <si>
    <t>VSIDCS</t>
  </si>
  <si>
    <t>A pilot tool of the virtual scenario initial dementia cognitive screening (Vsidcs) with a cultural exhibition for improving the standard traditional test</t>
  </si>
  <si>
    <t>the same as MoCA</t>
  </si>
  <si>
    <t>Personal Involvement Inventory (PII)</t>
  </si>
  <si>
    <t>Pearson correlation analysis with MoCA 0.774, with MMSE  0.795 p&lt;0.001</t>
  </si>
  <si>
    <t>Not mentioned</t>
  </si>
  <si>
    <t>Synergy Through Integration of Wearable EEG and Virtual Reality for Mild Cognitive Impairment and Mild Dementia Screening</t>
  </si>
  <si>
    <t>Focused attention, selective attention, working memory, depth perception</t>
  </si>
  <si>
    <t>22HC, 21CI</t>
  </si>
  <si>
    <t>Highest F1 score on response profile + EEG Characteristics = 0.785 with accuracy 80%, precision 82.6% recall 74.8%</t>
  </si>
  <si>
    <t>Detecting Cognitive Decline Using a Novel Doodle-Based Neural Network</t>
  </si>
  <si>
    <t>Quick, Draw!</t>
  </si>
  <si>
    <t>draw doodles and guess by neural network</t>
  </si>
  <si>
    <t>USE OF SERIOUS GAMES FOR THE ASSESSMENT OF MILD COGNITIVE IMPAIRMENT IN THE ELDERLY</t>
  </si>
  <si>
    <t>three minigame, 1. move avatar to receive falling apple, 2 put dishes on the table the same as the one shown seconds before. 3 listen and repeat a series of numbers</t>
  </si>
  <si>
    <t>280HC, 62MCI</t>
  </si>
  <si>
    <t>play time , moving distance, number of errors</t>
  </si>
  <si>
    <t>playing time of "elevator" level 2 was highly correlated to MMSE, with coefficient -0.504, p&lt;0.05</t>
  </si>
  <si>
    <t>COGNIPLAT</t>
  </si>
  <si>
    <t>Applying Serious Games and Machine Learning for Cognitive Training and Screening: the COGNIPLAT Approach</t>
  </si>
  <si>
    <t>language, space and time orientation, attention, memory, executive functions, and abstraction</t>
  </si>
  <si>
    <t>game scores, interaction time with the game screens, frequency of using each game, games successfully completed, number of errors</t>
  </si>
  <si>
    <t>MoCA/medical history</t>
  </si>
  <si>
    <t>10MCI</t>
  </si>
  <si>
    <t>Support vector machine had best performance, accuracy=91.79%, sensitivity=93.2%, specificity=90%</t>
  </si>
  <si>
    <t>Pac-man</t>
  </si>
  <si>
    <t>Identifying Deficient Cognitive Functions Using Computer Games: A Pilot Study</t>
  </si>
  <si>
    <t>CogWorldTravel</t>
  </si>
  <si>
    <t>recognition memory, attention, working memory, language, immediate memory span, processing speed, inhibition, recognition of emotions, visuoconstructional, perceptual-motor and planning abilities</t>
  </si>
  <si>
    <t xml:space="preserve">the number of faces that were selected before losing the game. The number of words formed. Meory the order of metro stops. Number of photo taken, math the facial express with emotional texts, number of suitcase filled </t>
  </si>
  <si>
    <t>Exploring the Touch and Motion Features in Game-Based Cognitive Assessments</t>
  </si>
  <si>
    <t>screen touch trajectory, gameplay data (level, score, time)</t>
  </si>
  <si>
    <t>TMT-A and TMT-B, Addenbrooke’s Cognitive Examination-III</t>
  </si>
  <si>
    <t>Correalation</t>
  </si>
  <si>
    <t>Only cognitively normal individuals</t>
  </si>
  <si>
    <t>Attention, Memory, Visuospatial ability, Response Inhibition</t>
  </si>
  <si>
    <t>Evaluation of CogWorldTravel: A Serious Game for  Cognitive Screening</t>
  </si>
  <si>
    <t>episodic and executive memory.</t>
  </si>
  <si>
    <t>Artificial Intelligence Applied to Video Game for Detection of Mild Cognitive Impairment</t>
  </si>
  <si>
    <t>Neurocity</t>
  </si>
  <si>
    <t>3D city envrionment with tasks</t>
  </si>
  <si>
    <t>Time</t>
  </si>
  <si>
    <t>Group based on ages</t>
  </si>
  <si>
    <t>Minecraft</t>
  </si>
  <si>
    <t>User Friendly Minecraft Mod for Early Detection of  Alzheimer’s Disease in Young Adults</t>
  </si>
  <si>
    <t>Game User Experience Satisfaction Scale (GUESS)</t>
  </si>
  <si>
    <t>Evaluation of the Predictive Ability and User Acceptance of Panoramix 2.0, an AI-Based E-Health Tool for the Detection of Cognitive Impairment</t>
  </si>
  <si>
    <t>epsodic memory，semantic memory， procedural memory and executive functions</t>
  </si>
  <si>
    <t>hits, repetitions, guesses, omissions, errors, and total time spent in each phase</t>
  </si>
  <si>
    <t>GDS neuropsychological screening test and clinical diagnosis for AD</t>
  </si>
  <si>
    <t>10 HC, 14MCI, 6AD</t>
  </si>
  <si>
    <t>SVM,KNN,ANN reach perfect performance. F1=1, specificity=1, recall=1, precision=1, accuracy=1.</t>
  </si>
  <si>
    <t>Seas the Day</t>
  </si>
  <si>
    <t>Tai- Chi (stretching, 3-5 minutes), rowing (exercise conditioning stage, 9 minutes) and fishing (cool-down, 3 minutes)</t>
  </si>
  <si>
    <t>Time and frequency domain features</t>
  </si>
  <si>
    <t>using head kinematic variables achieved 69.9% accuracy using the first set of features, whereas the maximum value of classification accuracy for the multisensory RT achieved 59.2% using both the first and second set of features.</t>
  </si>
  <si>
    <t>VR and EEG Combined Self-monitoring  Platform of Cognitive Care</t>
  </si>
  <si>
    <t>Lucy</t>
  </si>
  <si>
    <t>136HC, 29MCI</t>
  </si>
  <si>
    <t>Gamified of Choice reaction time task, tricky ball task, Corsi block-tapping task, etc.</t>
  </si>
  <si>
    <t>EEG signal, score, response time</t>
  </si>
  <si>
    <t xml:space="preserve">Significant difference in game score between age groups by Wilconxon rank-sum test. (focused attention p=0.0058, working memory p=0.00006, depth perception p=0.0057) </t>
  </si>
  <si>
    <t>object identification game by olfactory and haptic senses</t>
  </si>
  <si>
    <t>Study on Early Detection and Prevention of  Dementia Using Olfactory and Haptic Senses</t>
  </si>
  <si>
    <t>Development of an Augmented-Reality-Based  Serious Game: A Cognitive Assessment Study</t>
  </si>
  <si>
    <t>18HC,13MCI</t>
  </si>
  <si>
    <t>executive functions (reasoning and planning), attention (selected and divided), language, memory (short and delayed recall), and visuospatial orientation.</t>
  </si>
  <si>
    <t>game scores</t>
  </si>
  <si>
    <t>MoCA score is highly related to game score with r=0.837 p=0.000</t>
  </si>
  <si>
    <t>The Design of Interactive Physical Game for Cognitive Ability Detecting for Elderly with Mild Cognitive Impairment</t>
  </si>
  <si>
    <t xml:space="preserve"> Physical game implemented with Kinect, 5 small games including daily routine simulation and conventional game (e.g., puzzle and mahjong)</t>
  </si>
  <si>
    <t>accuracy, time, number of right answers</t>
  </si>
  <si>
    <t>11HC,9MCI</t>
  </si>
  <si>
    <t>R^2 = 0.87 and F=34.52 (p&lt;0.05) for regression model</t>
  </si>
  <si>
    <t>BrightArm</t>
  </si>
  <si>
    <t>A serious gaming alternative to pen-and-paper cognitive scoring: A pilot study of BrightScreener™</t>
  </si>
  <si>
    <t xml:space="preserve"> Lap-top games powered by Unity 3D, 4 small games: Breakout 3D, Card Island, Tower of Hanoi 3D and Pick-and-Place.</t>
  </si>
  <si>
    <t>Composite Game Scores (detailed cognitive concepts in the game lost), exit interview.</t>
  </si>
  <si>
    <t>executive function,short-term visual memory and attention,working memory and divided attention</t>
  </si>
  <si>
    <t>3HC, 7MCI, 1AD</t>
  </si>
  <si>
    <t>Composite Score correlation value with MMSE is 0.90 (p=0.00008), correlation value for subgames in a range of [0.6-0.85] with mean value 0.745</t>
  </si>
  <si>
    <t>Mild Cognitive Impairment Detection Using Machine Learning Models Trained on Data Collected from Serious Games</t>
  </si>
  <si>
    <t>10 small games designed for cognitive fileds, Android</t>
  </si>
  <si>
    <t>user-centered design/ multi-disciplinary approach</t>
  </si>
  <si>
    <t>4HC,6MCI</t>
  </si>
  <si>
    <t>Gaussian Naive Bayes,(92.14% accuracy, 93.4% sensitivity and 90% speciﬁcity)</t>
  </si>
  <si>
    <t>Learning to Detect Cognitive Impairment through Digital Games and Machine Learning Techniques*</t>
  </si>
  <si>
    <t>GEQ</t>
  </si>
  <si>
    <t>clincial diagnosis/ MMSE</t>
  </si>
  <si>
    <t>8HC, 3MCI, 5AD</t>
  </si>
  <si>
    <t>list best game variables correlated to MMSE.100% correct for all algorithms: LR, CART, and SVM.</t>
  </si>
  <si>
    <t>RehabCity</t>
  </si>
  <si>
    <t>RehabCity: Design and Validation of a Cognitive Assessment and Rehabilitation Tool through Gamified Simulations of Activities of Daily Living</t>
  </si>
  <si>
    <t xml:space="preserve"> a Simulation game with shopping, ATM operation</t>
  </si>
  <si>
    <t>score, distance, time</t>
  </si>
  <si>
    <t>visuospatial orientation, attention, and executive functions,</t>
  </si>
  <si>
    <t>10 cognitive defictis</t>
  </si>
  <si>
    <t>high correlation between RehabCity scores and the MMSE (r = 0.81)</t>
  </si>
  <si>
    <t>The Smart Aging Platform for Assessing Early Phases of Cognitive Impairment in Patients With Neurodegenerative Diseases</t>
  </si>
  <si>
    <t>The Use of a Virtual Reality Platform for the Assessment of the Memory Decline and the Hippocampal Neural Injury in Subjects with Mild Cognitive Impairment: The Validity of Smart Aging Serious Game (SASG)</t>
  </si>
  <si>
    <t>MMSE and MoCA</t>
  </si>
  <si>
    <t>Most tasks are significant to distinguish aMCI and HC</t>
  </si>
  <si>
    <t>The Ryokansan</t>
  </si>
  <si>
    <t>Computerized Touch-panel Screening Tests for Detecting Mild Cognitive Impairment and Alzheimer’s Disease</t>
  </si>
  <si>
    <t xml:space="preserve"> flipping cards, finding mistakes, arranging pictures and beating devils (whack-a-mole)</t>
  </si>
  <si>
    <t xml:space="preserve"> time, number of errors, accuracy</t>
  </si>
  <si>
    <t>recent memory,attention and discrimination,processing and remote memory,judgment</t>
  </si>
  <si>
    <t>AD neuroimaging initiative (ADNI) criteria for MCI and AD</t>
  </si>
  <si>
    <t>75HC, 41MCI, 124AD</t>
  </si>
  <si>
    <t>Spearman's rank correlation, all four games can discriminate AD. The flipping card can detect MCI.</t>
  </si>
  <si>
    <t>A new tool to assess amnestic mild cognitive impairment in Turkish older adults: virtual supermarket (VSM)</t>
  </si>
  <si>
    <t>Detection of Mild Cognitive Impairment in an At-Risk Group of Older Adults: Can a Novel Self-Administered Serious Game-Based Screening Test Improve Diagnostic Accuracy?</t>
  </si>
  <si>
    <t>A Virtual Supermarket Program for the Screening of Mild Cognitive Impairment in Older Adults: Diagnostic Accuracy Study</t>
  </si>
  <si>
    <t>task performance and time</t>
  </si>
  <si>
    <t>CCR, speciﬁcity, and sensitivity = 80%, 74%, and 85%</t>
  </si>
  <si>
    <t>Neuropsychological test battery</t>
  </si>
  <si>
    <t>52HC, 37aMCI</t>
  </si>
  <si>
    <t>48 SCD, 47 MCI</t>
  </si>
  <si>
    <t>(CCR) of 81.91% with a sensitivity of 76.27% and a speciﬁcity of 91.43% for MCI detection.</t>
  </si>
  <si>
    <t>MoCA (r=0.645, P&lt;.001), MMSE  (r=0.429, P&lt;.001). / AUC = 0.870, p&lt;0.001</t>
  </si>
  <si>
    <t>Using a virtual environment to assess cognition in the elderly</t>
  </si>
  <si>
    <t>A battery of neuropsychological tests, MMSE is part of the battery</t>
  </si>
  <si>
    <t>Correct rate</t>
  </si>
  <si>
    <t>spatial memory</t>
  </si>
  <si>
    <t>22HC, 9MCI</t>
  </si>
  <si>
    <t>X-Torp</t>
  </si>
  <si>
    <t>Comparison between a Paper-Pencil Version and Computerized Version for the Realization of a Neuropsychological Test: The Example of the Trail Making Test</t>
  </si>
  <si>
    <t xml:space="preserve"> X-Trop, desktop game controlled by kinect</t>
  </si>
  <si>
    <t>time</t>
  </si>
  <si>
    <t>Mental flexibility</t>
  </si>
  <si>
    <t>27HC, 27MCI, 21AD</t>
  </si>
  <si>
    <t>gamified test provides similar performance, can classify the MCI, AD and HC</t>
  </si>
  <si>
    <t xml:space="preserve">The Application of Individual Virtual Nostalgic Game Design to the Evaluation of Cognitive Function </t>
  </si>
  <si>
    <t>Somatosensory games using Kinect. Player use body movement control the game.</t>
  </si>
  <si>
    <t>On the Comparison of a Novel Serious Game and Electroencephalography Biomarkers for Early Dementia Screening</t>
  </si>
  <si>
    <t>Development of classifiers to determine factors associated with older adult’s cognitive functions and  game user experience in VR using head kinematics</t>
  </si>
  <si>
    <t>Smartkuber: A Serious Game for Cognitive Health Screening of Elderly Players</t>
  </si>
  <si>
    <t xml:space="preserve">Take an existing game </t>
  </si>
  <si>
    <t xml:space="preserve">Embed already computerized neuropsychological tests </t>
  </si>
  <si>
    <t xml:space="preserve">Replicate real-life situations </t>
  </si>
  <si>
    <t>Other</t>
  </si>
  <si>
    <t>Mimic the testing mechanics of a paper-based test</t>
  </si>
  <si>
    <t>CogWorldTravel: Design of a Game-Based Cognitive Screening Instrument</t>
  </si>
  <si>
    <t>Usability study</t>
  </si>
  <si>
    <t>Usability study, only reported two major problems: navigating and unexpected greater complexity</t>
  </si>
  <si>
    <t>Questionnaire before and after</t>
  </si>
  <si>
    <t>Qantitative usability study</t>
  </si>
  <si>
    <t>Accessibility study by completing each game</t>
  </si>
  <si>
    <t xml:space="preserve">Accessibility subjective questionnaire (8 questions on 5 points scale) </t>
  </si>
  <si>
    <t>inhibitory executive function</t>
  </si>
  <si>
    <t xml:space="preserve">VR gamified test: open a door, phone call, identifying people, ad, and digital span. Sorting objects, pick outfit, withdraw cash. </t>
  </si>
  <si>
    <t>VR IADL experience: ATM cash withdraw, bus route selection</t>
  </si>
  <si>
    <t>6 games on tablets, counting animals entering and leaving the farm and its variants.</t>
  </si>
  <si>
    <t>Mobile tablet game, Nostalgic theory applied, gamify on quiz of certain scene subjects are familiar with</t>
  </si>
  <si>
    <t>gamify the pen and paper MoCA test into a computer test with a VR and AR environment.</t>
  </si>
  <si>
    <t>pac-man :-)</t>
  </si>
  <si>
    <t>Build a test environment in sandbox game Minecraft</t>
  </si>
  <si>
    <t>VR environment tasks. Navigating in a park, twoer of hannoi and other tests in a virtual environment.</t>
  </si>
  <si>
    <t>physical hardware gamified the MoCA test</t>
  </si>
  <si>
    <t>FitForAll (FFA) + high-resolution monitoring games (HRMG) / motion capture game like sikking and golf.</t>
  </si>
  <si>
    <t>Metrics to monitor performance of patients with mild cognitive impairment using computer based games</t>
  </si>
  <si>
    <t>147/47</t>
  </si>
  <si>
    <t>6 week</t>
  </si>
  <si>
    <t>Longitudinal, 100 games</t>
  </si>
  <si>
    <t>MMSE, MoCA</t>
  </si>
  <si>
    <t>55 HC, 54 CI</t>
  </si>
  <si>
    <t>Correlation, Machine Learning</t>
  </si>
  <si>
    <t>8 HC, 3MCI, 5AD</t>
  </si>
  <si>
    <t>Twice, 3 months later</t>
  </si>
  <si>
    <t>37 HC, 23 CI</t>
  </si>
  <si>
    <t>No, data is synthetic</t>
  </si>
  <si>
    <t>Sketching patterns</t>
  </si>
  <si>
    <t>twice, compared performance</t>
  </si>
  <si>
    <t>107HC, 32 aMCI</t>
  </si>
  <si>
    <t>64HC, 62aMCI</t>
  </si>
  <si>
    <t>Year</t>
  </si>
  <si>
    <t>Control</t>
  </si>
  <si>
    <t>MCI</t>
  </si>
  <si>
    <t>n(female)</t>
  </si>
  <si>
    <t>Age(SD)</t>
  </si>
  <si>
    <t>Education years(SD)</t>
  </si>
  <si>
    <t>Jimison et al.</t>
  </si>
  <si>
    <t>80.2(8.0)</t>
  </si>
  <si>
    <t>All</t>
  </si>
  <si>
    <t>80.4(6.0)</t>
  </si>
  <si>
    <t>15.2(2.7)</t>
  </si>
  <si>
    <t>McKanna et al.</t>
  </si>
  <si>
    <t>System #</t>
  </si>
  <si>
    <t>Zhang et al.</t>
  </si>
  <si>
    <t>72.64(9.08)</t>
  </si>
  <si>
    <t>14.19(3.61)</t>
  </si>
  <si>
    <t>42(29)</t>
  </si>
  <si>
    <t>65(28)</t>
  </si>
  <si>
    <t>10.71(4.68)</t>
  </si>
  <si>
    <t>Tsai et al.</t>
  </si>
  <si>
    <t>70.17(5.15)</t>
  </si>
  <si>
    <t>6(3)</t>
  </si>
  <si>
    <t>12.67(3.50)</t>
  </si>
  <si>
    <t>74.83(4.07)</t>
  </si>
  <si>
    <t>13.50(2.66)</t>
  </si>
  <si>
    <t>Shamsuddin et al.</t>
  </si>
  <si>
    <t>31(21)</t>
  </si>
  <si>
    <t>Lesk et al.</t>
  </si>
  <si>
    <t>69.77 (4.60)</t>
  </si>
  <si>
    <t>72.67 (6.56)</t>
  </si>
  <si>
    <t>22(17)</t>
  </si>
  <si>
    <t>15.50 (6.04)</t>
  </si>
  <si>
    <t>20.07 (6.26)</t>
  </si>
  <si>
    <t>9(4)</t>
  </si>
  <si>
    <t>Bottiroli et al.</t>
  </si>
  <si>
    <t>64.0(8.3)</t>
  </si>
  <si>
    <t>1086(608)</t>
  </si>
  <si>
    <t>10.56</t>
  </si>
  <si>
    <t>23HC,23aMCI,20PD-MCI,25AD</t>
  </si>
  <si>
    <t>69.43 (6.83)</t>
  </si>
  <si>
    <t>23(12)</t>
  </si>
  <si>
    <t>10.39 (2.55)</t>
  </si>
  <si>
    <t>Note</t>
  </si>
  <si>
    <t>aMCI</t>
  </si>
  <si>
    <t>69.74 (9.27)</t>
  </si>
  <si>
    <t>10.44 (4.64)</t>
  </si>
  <si>
    <t>PD-MCI</t>
  </si>
  <si>
    <t>67.85 (6.84)</t>
  </si>
  <si>
    <t>20(9)</t>
  </si>
  <si>
    <t>9.20 (3.61)</t>
  </si>
  <si>
    <t>Cabinio et al.</t>
  </si>
  <si>
    <t>9(-)</t>
  </si>
  <si>
    <t>30(-)</t>
  </si>
  <si>
    <t>107(53)</t>
  </si>
  <si>
    <t>32(15)</t>
  </si>
  <si>
    <t>76.75(5.31)</t>
  </si>
  <si>
    <t>10.75(3.84)</t>
  </si>
  <si>
    <t>76.47(3.03)</t>
  </si>
  <si>
    <t>10.95(4.09)</t>
  </si>
  <si>
    <t>Konstantinidis et al.</t>
  </si>
  <si>
    <t>38(30)</t>
  </si>
  <si>
    <t>67.1 (5.2)</t>
  </si>
  <si>
    <t>8.5 (2.6)</t>
  </si>
  <si>
    <t>64(54)</t>
  </si>
  <si>
    <t>69.3(6.4)</t>
  </si>
  <si>
    <t>7.6(2.8)</t>
  </si>
  <si>
    <t>Manera et al.</t>
  </si>
  <si>
    <t>9(7)</t>
  </si>
  <si>
    <t>75.8(9.1)</t>
  </si>
  <si>
    <t>10.56(3.74)</t>
  </si>
  <si>
    <t>No HC, comparing with AD</t>
  </si>
  <si>
    <t>Sirály et al.</t>
  </si>
  <si>
    <t>76.1(11.4)</t>
  </si>
  <si>
    <t>68(7.9)</t>
  </si>
  <si>
    <t>34(25)</t>
  </si>
  <si>
    <t>12(6)</t>
  </si>
  <si>
    <t>22(19)</t>
  </si>
  <si>
    <t>-</t>
  </si>
  <si>
    <t>63.6(-)</t>
  </si>
  <si>
    <t>Tarnanas et al.</t>
  </si>
  <si>
    <t>77.2 (4.9)</t>
  </si>
  <si>
    <t>5 (1.7)</t>
  </si>
  <si>
    <t>5 (1.9)</t>
  </si>
  <si>
    <t>25(20)</t>
  </si>
  <si>
    <t>25(18)</t>
  </si>
  <si>
    <t>78 (4.7)</t>
  </si>
  <si>
    <t>146(66)</t>
  </si>
  <si>
    <t>80.6 (6.0)</t>
  </si>
  <si>
    <t>Tong et al.</t>
  </si>
  <si>
    <t>Boletsis et al.</t>
  </si>
  <si>
    <t>13(5)</t>
  </si>
  <si>
    <t>68 (7.24)</t>
  </si>
  <si>
    <t>(vague)</t>
  </si>
  <si>
    <t>Bonnechère et al.</t>
  </si>
  <si>
    <t>69 (4)</t>
  </si>
  <si>
    <t>Young, Aged, CI</t>
  </si>
  <si>
    <t>75 (7)</t>
  </si>
  <si>
    <t>Hou et al.</t>
  </si>
  <si>
    <t>59(19)</t>
  </si>
  <si>
    <t>63.4(7.9)</t>
  </si>
  <si>
    <t>Gielis et al.</t>
  </si>
  <si>
    <t>70 (5.4)</t>
  </si>
  <si>
    <t>23(11)</t>
  </si>
  <si>
    <t>Levels 1-2:5 Levels 3-4:7 Levels 5-6:11</t>
  </si>
  <si>
    <t>23(13)</t>
  </si>
  <si>
    <t>80 (5.2)</t>
  </si>
  <si>
    <t>Levels 1-2:4 Levels 3-4:13 Levels 5-6:6</t>
  </si>
  <si>
    <t>Neto et al.</t>
  </si>
  <si>
    <t>64.8(9.2)</t>
  </si>
  <si>
    <t>55(44)</t>
  </si>
  <si>
    <t>1–12 years:25 Specialization /University:30</t>
  </si>
  <si>
    <t>51(38)</t>
  </si>
  <si>
    <t>76.5(7.6)</t>
  </si>
  <si>
    <t>None:12 1–12 years:36 Specialization /University:3</t>
  </si>
  <si>
    <t>Also AD</t>
  </si>
  <si>
    <t>75.57(7.14)</t>
  </si>
  <si>
    <t>76.87 (9.33)</t>
  </si>
  <si>
    <t>1.34 (0.82)</t>
  </si>
  <si>
    <t>1.78(0.41)</t>
  </si>
  <si>
    <t>Valladares-Rodriguez et al.</t>
  </si>
  <si>
    <t>28(12)</t>
  </si>
  <si>
    <t>16(6)</t>
  </si>
  <si>
    <t>64(42)</t>
  </si>
  <si>
    <t>77.01 (7.23)</t>
  </si>
  <si>
    <t>1.84 (1.2)</t>
  </si>
  <si>
    <t>educational level: 0 = illiterate; 1 = ability to read and write; 2 = primary school; 3 = secondary school; 4 = high school; 5: vocational training; 6 = university</t>
  </si>
  <si>
    <t>Though the study was a cross-sectional sample with 28HC, 16MCI, and 20 AD. However, demographics data were not reported</t>
  </si>
  <si>
    <t>75.62(-)</t>
  </si>
  <si>
    <t>10(-)</t>
  </si>
  <si>
    <t>14(-)</t>
  </si>
  <si>
    <t>81.24(-)</t>
  </si>
  <si>
    <t>30(22)</t>
  </si>
  <si>
    <t>78.64 (±7.23)</t>
  </si>
  <si>
    <t>2.42 (±1.2)</t>
  </si>
  <si>
    <t>8 AD participants</t>
  </si>
  <si>
    <t>3(2)</t>
  </si>
  <si>
    <t>75(6.08)</t>
  </si>
  <si>
    <t>10(8.54)</t>
  </si>
  <si>
    <t>8(6)</t>
  </si>
  <si>
    <t>68.3(8.88)</t>
  </si>
  <si>
    <t>12.12(5.89)</t>
  </si>
  <si>
    <t>Jung et al.</t>
  </si>
  <si>
    <t>12(11)</t>
  </si>
  <si>
    <t>73.6 (7.3)</t>
  </si>
  <si>
    <t>Seo et al.</t>
  </si>
  <si>
    <t>22(8)</t>
  </si>
  <si>
    <t>20(8)</t>
  </si>
  <si>
    <t>Chessa et al.</t>
  </si>
  <si>
    <t>74.6(10.5)</t>
  </si>
  <si>
    <t>Chua et al.</t>
  </si>
  <si>
    <t>70.7 (3.6)</t>
  </si>
  <si>
    <t>37(26)</t>
  </si>
  <si>
    <t>&lt;4 years: 4, 6-10 years:23, &gt;10 years:10</t>
  </si>
  <si>
    <t>73.2 (5.4)</t>
  </si>
  <si>
    <t>MCI was described as CI</t>
  </si>
  <si>
    <t>&lt;4 years: 12, 6-10 years: 8, &gt;10 years: 3</t>
  </si>
  <si>
    <t>Farrukh et al.</t>
  </si>
  <si>
    <t>47(25)</t>
  </si>
  <si>
    <t>47.1(15.2)</t>
  </si>
  <si>
    <t>No formal eduacation:1, Primary School: 11, Secondary School: 21, Diploma:13, Post-graduation:1</t>
  </si>
  <si>
    <t>Chen et al.</t>
  </si>
  <si>
    <t>37(24)</t>
  </si>
  <si>
    <t>75.38(11.41)</t>
  </si>
  <si>
    <t xml:space="preserve"> Iliadou et al.</t>
  </si>
  <si>
    <t>65.56 (4.43)</t>
  </si>
  <si>
    <t>13.56 (3.09)</t>
  </si>
  <si>
    <t>43(34)</t>
  </si>
  <si>
    <t>33(24)</t>
  </si>
  <si>
    <t>66.79 (5.01)</t>
  </si>
  <si>
    <t>12.39 (2.69)</t>
  </si>
  <si>
    <t>Boz et al.</t>
  </si>
  <si>
    <t>67.56(6.044)</t>
  </si>
  <si>
    <t>52(35)</t>
  </si>
  <si>
    <t>10.54(3.71)</t>
  </si>
  <si>
    <t>37(12)</t>
  </si>
  <si>
    <t>70.41(7.297)</t>
  </si>
  <si>
    <t>11.16(3.149)</t>
  </si>
  <si>
    <t>Zygouris et al.</t>
  </si>
  <si>
    <t>48(38)</t>
  </si>
  <si>
    <t>65.96 (0.652)</t>
  </si>
  <si>
    <t>13.67 (0.430)</t>
  </si>
  <si>
    <t>47(35)</t>
  </si>
  <si>
    <t>67.89 (0.759)</t>
  </si>
  <si>
    <t>12.87 (0.430)</t>
  </si>
  <si>
    <t>Health control is SCD</t>
  </si>
  <si>
    <t>Yan et al.</t>
  </si>
  <si>
    <t>64(13)</t>
  </si>
  <si>
    <t>73.5 (16.0)</t>
  </si>
  <si>
    <t>Primary school:10, Middle school:13, High School:13, University:28</t>
  </si>
  <si>
    <t>82.00 (15.50)</t>
  </si>
  <si>
    <t>62(22)</t>
  </si>
  <si>
    <t>Primary school:4, Middle school:19, High School:20, University:19</t>
  </si>
  <si>
    <t>Liu et al.</t>
  </si>
  <si>
    <t>Lee et al.</t>
  </si>
  <si>
    <t>22(15)</t>
  </si>
  <si>
    <t>21(13)</t>
  </si>
  <si>
    <t>68.3(-)</t>
  </si>
  <si>
    <t>9.8(-)</t>
  </si>
  <si>
    <t>72.5(-)</t>
  </si>
  <si>
    <t>8.0(-)</t>
  </si>
  <si>
    <t>Used CI</t>
  </si>
  <si>
    <t>Choi</t>
  </si>
  <si>
    <t>280(-)</t>
  </si>
  <si>
    <t>71.22(4.36)</t>
  </si>
  <si>
    <t>8.34(4.95)</t>
  </si>
  <si>
    <t>62(-)</t>
  </si>
  <si>
    <t>73.11(5.63)</t>
  </si>
  <si>
    <t>6.50(4.57)</t>
  </si>
  <si>
    <t>Goumopoulos et al.</t>
  </si>
  <si>
    <t>10(6)</t>
  </si>
  <si>
    <t>76.1(7.9)</t>
  </si>
  <si>
    <t>9.9(3.5)</t>
  </si>
  <si>
    <t>Karapapas et al.</t>
  </si>
  <si>
    <t>4(1)</t>
  </si>
  <si>
    <t>75.25(2.06)</t>
  </si>
  <si>
    <t>11.25(1.50)</t>
  </si>
  <si>
    <t>6(2)</t>
  </si>
  <si>
    <t>76.67(9.27)</t>
  </si>
  <si>
    <t>8.5(2.26)</t>
  </si>
  <si>
    <t>Intarasirisawat et al.</t>
  </si>
  <si>
    <t>21(9)</t>
  </si>
  <si>
    <t>Taghavi et al.</t>
  </si>
  <si>
    <t>20(-)</t>
  </si>
  <si>
    <t>House et al.</t>
  </si>
  <si>
    <t>11(5)</t>
  </si>
  <si>
    <t>73.6 (8.6)</t>
  </si>
  <si>
    <t>14.5 (4.2)</t>
  </si>
  <si>
    <t>Vourvopoulos et al</t>
  </si>
  <si>
    <t>10(8)</t>
  </si>
  <si>
    <t>[35, 77]</t>
  </si>
  <si>
    <t>[2, 12]</t>
  </si>
  <si>
    <t>75(49)</t>
  </si>
  <si>
    <t>HC and MCI were divided by MoCA</t>
  </si>
  <si>
    <t>18(-)</t>
  </si>
  <si>
    <t>58.23(7.98)</t>
  </si>
  <si>
    <t>13(-)</t>
  </si>
  <si>
    <t>69.87(9.54)</t>
  </si>
  <si>
    <t>75.1(6.1)</t>
  </si>
  <si>
    <t>11.9(2.3)</t>
  </si>
  <si>
    <t>41(25)</t>
  </si>
  <si>
    <t>75.3(6.5)</t>
  </si>
  <si>
    <t>12.3(2.1)</t>
  </si>
  <si>
    <t>Sacco et al.</t>
  </si>
  <si>
    <t>Fukui et al.</t>
  </si>
  <si>
    <t>27(22)</t>
  </si>
  <si>
    <t>71.7(7.4)</t>
  </si>
  <si>
    <t>Level 0:2, Level 1:2, Level 2:9, Level 3:5, Tertiary education:9</t>
  </si>
  <si>
    <t>27(14)</t>
  </si>
  <si>
    <t>75.4(8.5)</t>
  </si>
  <si>
    <t>Level 0:2, Level 1:1, Level 2:10, Level 3:2, Tertiary education:12</t>
  </si>
  <si>
    <t>Author Name</t>
  </si>
  <si>
    <t>Game Metrics</t>
  </si>
  <si>
    <t>AUC</t>
  </si>
  <si>
    <t>Correct path, incorrect path, correct sequences, incorrect sequences, overall score and time</t>
  </si>
  <si>
    <t>Features extracted from trajectory, region, and task performance</t>
  </si>
  <si>
    <t>Smart Aging Total Score</t>
  </si>
  <si>
    <t>Smart Aging Serious Game (SAGA) Total Score</t>
  </si>
  <si>
    <t>84.4</t>
  </si>
  <si>
    <t>Specificity (%)</t>
  </si>
  <si>
    <t>Sensitivity (%)</t>
  </si>
  <si>
    <t>75.5</t>
  </si>
  <si>
    <t>0.88</t>
  </si>
  <si>
    <t>Evaluator ranked Age, HRMG MeanTotal, HRMG InterceptTotal, HRMG MeanLevel1, HRMG MeanLevel3, HRMG MeanLevel4, and HeartRateSlopelevel3</t>
  </si>
  <si>
    <t>0.774</t>
  </si>
  <si>
    <t>Game trials</t>
  </si>
  <si>
    <t>Game time</t>
  </si>
  <si>
    <t>88.0</t>
  </si>
  <si>
    <t>77.8</t>
  </si>
  <si>
    <t>87.5</t>
  </si>
  <si>
    <t>33.3</t>
  </si>
  <si>
    <r>
      <t xml:space="preserve">Best cutoff game points 15.5 based on </t>
    </r>
    <r>
      <rPr>
        <b/>
        <sz val="12"/>
        <color theme="1"/>
        <rFont val="Aptos Narrow"/>
        <scheme val="minor"/>
      </rPr>
      <t>MoCA</t>
    </r>
  </si>
  <si>
    <r>
      <t xml:space="preserve">Best cutoff game points 15.5 based on </t>
    </r>
    <r>
      <rPr>
        <b/>
        <sz val="12"/>
        <color theme="1"/>
        <rFont val="Aptos Narrow"/>
        <scheme val="minor"/>
      </rPr>
      <t>MMSE</t>
    </r>
  </si>
  <si>
    <t>88.9</t>
  </si>
  <si>
    <t>0.90</t>
  </si>
  <si>
    <t>Nu-Support Vector classifier using digital biomarkers of cognitive performance in Klondike Solitaire</t>
  </si>
  <si>
    <t xml:space="preserve">Random forest using Panoramix battery </t>
  </si>
  <si>
    <t>0.98</t>
  </si>
  <si>
    <t>Support Vector Machine using Panoramix 2.0 battery</t>
  </si>
  <si>
    <t>Total performance score of RE@CH</t>
  </si>
  <si>
    <t>0.821</t>
  </si>
  <si>
    <t>78.2</t>
  </si>
  <si>
    <t>75.7</t>
  </si>
  <si>
    <t>97.2</t>
  </si>
  <si>
    <t>0.953</t>
  </si>
  <si>
    <t>Holey Moley game classification based on MMSE</t>
  </si>
  <si>
    <t>All Virtual Supermarket variables</t>
  </si>
  <si>
    <t>Bought Unlisted &amp; Correct Money &amp; Duration</t>
  </si>
  <si>
    <t>76.27</t>
  </si>
  <si>
    <t>91.43</t>
  </si>
  <si>
    <t>Score in the Virtual Supermarket Program</t>
  </si>
  <si>
    <t>0.870</t>
  </si>
  <si>
    <t>85.9</t>
  </si>
  <si>
    <t>79.0</t>
  </si>
  <si>
    <t>Focusd Attention response profile + EEG Characteristics</t>
  </si>
  <si>
    <t>80.0</t>
  </si>
  <si>
    <t>82.6</t>
  </si>
  <si>
    <t>91.79</t>
  </si>
  <si>
    <t>93.20</t>
  </si>
  <si>
    <t>Support Vector Machine using 9 variables in game metrics</t>
  </si>
  <si>
    <t>Manually Selected Feature Set with nine features: Age, Family Medical History, Exericising, Education, Avg. Game Round Time in Game Session, Orientation Game Improtance, Naming Game Importance, Memory Game Improtance, Recall (Anakilisi) Game Importance</t>
  </si>
  <si>
    <t>96.6</t>
  </si>
  <si>
    <t>0.99</t>
  </si>
  <si>
    <t>flipping cards game</t>
  </si>
  <si>
    <t>76.9</t>
  </si>
  <si>
    <t>70.7</t>
  </si>
  <si>
    <t>finding mistakes game</t>
  </si>
  <si>
    <t>56.5</t>
  </si>
  <si>
    <t>14 Systems</t>
  </si>
  <si>
    <t>19 Studies</t>
  </si>
  <si>
    <t>Health Comtrol</t>
  </si>
  <si>
    <t>number of Observation</t>
  </si>
  <si>
    <t>Mean</t>
  </si>
  <si>
    <t>Standard deviation</t>
  </si>
  <si>
    <t>Hedge's g</t>
  </si>
  <si>
    <t>Number of observation</t>
  </si>
  <si>
    <t>44 features</t>
  </si>
  <si>
    <t>18 features</t>
  </si>
  <si>
    <t>11 features</t>
  </si>
  <si>
    <t>How appropriate are the methods?</t>
  </si>
  <si>
    <t>How appropriate is the ground truth?</t>
  </si>
  <si>
    <t>How relevant are the comparative groups?</t>
  </si>
  <si>
    <t>How generalizable are the findings of this study to the target population?</t>
  </si>
  <si>
    <t>Longitudinal study</t>
  </si>
  <si>
    <t>Total score</t>
  </si>
  <si>
    <t>12 low</t>
  </si>
  <si>
    <t>23 medium</t>
  </si>
  <si>
    <t>16 high</t>
  </si>
  <si>
    <t>35 systems</t>
  </si>
  <si>
    <t>51 papers</t>
  </si>
  <si>
    <t>Not reported</t>
  </si>
  <si>
    <t>12 features in boxplots</t>
  </si>
  <si>
    <t xml:space="preserve">12 features </t>
  </si>
  <si>
    <t>Making phone call</t>
  </si>
  <si>
    <t>Reading newspaper and identifying specific components</t>
  </si>
  <si>
    <t>Shopping at supermarket</t>
  </si>
  <si>
    <t>Total performance score</t>
  </si>
  <si>
    <t>95%CI</t>
  </si>
  <si>
    <t>9 features</t>
  </si>
  <si>
    <t>11 features in bar charts</t>
  </si>
  <si>
    <t>16 features, not reported</t>
  </si>
  <si>
    <t>Flipping cards game</t>
  </si>
  <si>
    <t>Errors</t>
  </si>
  <si>
    <t>arranging pictures game</t>
  </si>
  <si>
    <t>beating devils game</t>
  </si>
  <si>
    <t>0.986</t>
  </si>
  <si>
    <t>Casual game</t>
  </si>
  <si>
    <t>Simulation games</t>
  </si>
  <si>
    <t>Multisensory game</t>
  </si>
  <si>
    <t>Simulation games - supermarket, cooking, pathfinding</t>
  </si>
  <si>
    <t>Casual games</t>
  </si>
  <si>
    <t>Simulation game - supermarket</t>
  </si>
  <si>
    <t>Simulation game - pathfinding</t>
  </si>
  <si>
    <t>Simulation game - cooking</t>
  </si>
  <si>
    <t>Simulation game - memory items occured</t>
  </si>
  <si>
    <t>Simulation game - ATM, choosing bus</t>
  </si>
  <si>
    <t>Simulation game- supermarket</t>
  </si>
  <si>
    <t>Simulation game - ATM, supermarket, phone</t>
  </si>
  <si>
    <t>Simulation game</t>
  </si>
  <si>
    <t>Simulation game - identifying people, organising package, plan bus roate</t>
  </si>
  <si>
    <t>Simulation game - supermarket, pathfinding</t>
  </si>
  <si>
    <t>18 Casual games</t>
  </si>
  <si>
    <t>7 Multisensory games</t>
  </si>
  <si>
    <t>16 Simulation games</t>
  </si>
  <si>
    <t>6 Gamification (Categorized into casual games)</t>
  </si>
  <si>
    <t>1 Others</t>
  </si>
  <si>
    <t>81 papers</t>
  </si>
  <si>
    <t>49 systems</t>
  </si>
  <si>
    <t>Participants</t>
  </si>
  <si>
    <t>neurologists, psychologists, neuropsychologists</t>
  </si>
  <si>
    <t>Stakeholders  in design</t>
  </si>
  <si>
    <t>Older adults and experts in cognitive neuropsychology</t>
  </si>
  <si>
    <t>A physician in mental health and disorders</t>
  </si>
  <si>
    <t>11 experts</t>
  </si>
  <si>
    <t>Domain experts and end-users</t>
  </si>
  <si>
    <t>People living with dementia, mild-cognitive impairment and exercise professionals</t>
  </si>
  <si>
    <t>Health professionals and patients</t>
  </si>
  <si>
    <t>7 Systems has stakeholders in the design</t>
  </si>
  <si>
    <t>Matched MoCA domains</t>
  </si>
  <si>
    <t>memory, executive function</t>
  </si>
  <si>
    <t>memory, visuospatial abilities</t>
  </si>
  <si>
    <t xml:space="preserve"> </t>
  </si>
  <si>
    <t>simple and choice reaction, concentration, perception, learning and memory, visuospatial coordination, visuomotor tracking, divided attention, cognitive flexibility and processing speed</t>
  </si>
  <si>
    <t>executive function</t>
  </si>
  <si>
    <t>memory, visuospatial abilities, executive function</t>
  </si>
  <si>
    <t>all domains</t>
  </si>
  <si>
    <t>attention</t>
  </si>
  <si>
    <t>language</t>
  </si>
  <si>
    <t>all domains except language and orientation to time</t>
  </si>
  <si>
    <t>memory, visuospatial abilities, attention, language</t>
  </si>
  <si>
    <t>memory, visuospatial abilities, executive function, attention</t>
  </si>
  <si>
    <t>memory, attention</t>
  </si>
  <si>
    <t>memory</t>
  </si>
  <si>
    <t>all domains except orientation</t>
  </si>
  <si>
    <t>memory, executive function, attention</t>
  </si>
  <si>
    <t>memory, visuospatial abilities, attention, orientation to place</t>
  </si>
  <si>
    <t>visio-perception coordination, spatial memory and visual short-term memory, auditory short term memory</t>
  </si>
  <si>
    <t>visuospatial abilities, executive function, attention</t>
  </si>
  <si>
    <t xml:space="preserve">Cross-sectional </t>
  </si>
  <si>
    <t>A set of 8 mini-games/ mobile, touch pad: Babble bots, Word pair, Memory sweep, Size counts, Square number,Must sort, Unique, Rush back</t>
  </si>
  <si>
    <t>a mole whacking game: mole only, mole with hat, bomb apprear on the screen to whack.</t>
  </si>
  <si>
    <t>33 systems</t>
  </si>
  <si>
    <t>48 studies</t>
  </si>
  <si>
    <t>Longitudinal, 4 weeks</t>
  </si>
  <si>
    <t>Classification</t>
  </si>
  <si>
    <t>Correalation, Classification</t>
  </si>
  <si>
    <t>Correlation, Classification</t>
  </si>
  <si>
    <t xml:space="preserve">Cross-sectional, two times </t>
  </si>
  <si>
    <t xml:space="preserve">Cross-sectional, 5 weeks </t>
  </si>
  <si>
    <t>Cross-sectional, 12 weeks</t>
  </si>
  <si>
    <t>Cross-sectional, 1 year</t>
  </si>
  <si>
    <t>Cross-sectional, multiple times for each participants, but not intra person study</t>
  </si>
  <si>
    <t>17 Take an existing game</t>
  </si>
  <si>
    <t xml:space="preserve">4 Embed already computerized neuropsychological tests </t>
  </si>
  <si>
    <t>shopping in supermarket and put shapes of blocks into the holes.</t>
  </si>
  <si>
    <t xml:space="preserve">16 Replicate real-life situations </t>
  </si>
  <si>
    <t>11 Mimic the testing mechanics of a paper-based test</t>
  </si>
  <si>
    <t>Mimic the testing mechanics of a paper-based test (MMSE)</t>
  </si>
  <si>
    <t>Mimic the testing mechanics of a paper-based test (MMSE and MoCA)</t>
  </si>
  <si>
    <t>TAM: Ease of use=3.7, Usefulness=3.8</t>
  </si>
  <si>
    <t>TAM2: Ease of use=4.30, Usefulness=4.06</t>
  </si>
  <si>
    <t>TAM: Ease of use=4.36, Usefulness=4.63</t>
  </si>
  <si>
    <r>
      <rPr>
        <b/>
        <sz val="12"/>
        <color theme="1"/>
        <rFont val="Aptos Narrow"/>
        <scheme val="minor"/>
      </rPr>
      <t>SUS</t>
    </r>
    <r>
      <rPr>
        <sz val="12"/>
        <color theme="1"/>
        <rFont val="Aptos Narrow"/>
        <scheme val="minor"/>
      </rPr>
      <t>, Software Usability Measurement Inventory (SUMI) questionnaire, improvements in quality of life (QOL) were assessed through the WHOQoL-BREF [55] questionnaire</t>
    </r>
  </si>
  <si>
    <r>
      <rPr>
        <b/>
        <sz val="12"/>
        <color theme="1"/>
        <rFont val="Aptos Narrow"/>
        <scheme val="minor"/>
      </rPr>
      <t>TAM</t>
    </r>
    <r>
      <rPr>
        <sz val="12"/>
        <color theme="1"/>
        <rFont val="Aptos Narrow"/>
        <scheme val="minor"/>
      </rPr>
      <t>, ICT acceptance, Post-study system usability questionnaire (PSSUQ)</t>
    </r>
  </si>
  <si>
    <t>No, feedback questionnaire in a conference paper not included</t>
  </si>
  <si>
    <t>24 reported user study</t>
  </si>
  <si>
    <t>19 Systems</t>
  </si>
  <si>
    <t>memory 28</t>
  </si>
  <si>
    <t>Visuospatial 20</t>
  </si>
  <si>
    <t>executive 23</t>
  </si>
  <si>
    <t>attention 25</t>
  </si>
  <si>
    <t>language 10</t>
  </si>
  <si>
    <t>Orientation 7</t>
  </si>
  <si>
    <t>player in a story in traveling theme. Six tasks are in the game. 1. selecting strange face, 2. … whack-a-mole variant.</t>
  </si>
  <si>
    <t xml:space="preserve">a virtual kitchen game with 6 tasks. </t>
  </si>
  <si>
    <t>Three famous commercial games. Tetris, Fruit Ninja and Candy Crush Saga</t>
  </si>
  <si>
    <t>six gamified tests on smartphone: Memory test,Spatial navigation test,Object recognition test, Basic maths test, Personal quiz— remembering personal details,Confusion test—Checks the user’s ability to stay focused in a confusing situation and answer correctly</t>
  </si>
  <si>
    <t>No significant correlation with MMSE. pilot study supports VR4 test discrimination: t(29) = 3.17, p&lt;0.01</t>
  </si>
  <si>
    <t>Smart Aging total score correlated MoCA and MMSE , Pearson’s correlations = 0.64 with p&lt;0.05</t>
  </si>
  <si>
    <t>16 studies Correlation only</t>
  </si>
  <si>
    <t>15 systems</t>
  </si>
  <si>
    <t>19 systems with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</si>
</sst>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6"/>
      <color theme="1"/>
      <name val="Aptos Narrow"/>
      <family val="2"/>
      <scheme val="minor"/>
    </font>
    <font>
      <u/>
      <sz val="12"/>
      <color theme="10"/>
      <name val="Aptos Narrow"/>
      <family val="2"/>
      <scheme val="minor"/>
    </font>
    <font>
      <sz val="12"/>
      <color theme="1"/>
      <name val="Aptos Narrow"/>
      <scheme val="minor"/>
    </font>
    <font>
      <b/>
      <sz val="12"/>
      <color theme="1"/>
      <name val="Aptos Narrow"/>
      <scheme val="minor"/>
    </font>
    <font>
      <sz val="11"/>
      <color theme="1"/>
      <name val="Times New Roman"/>
      <family val="1"/>
    </font>
    <font>
      <sz val="11"/>
      <color rgb="FF000000"/>
      <name val="Times New Roman"/>
      <family val="1"/>
    </font>
    <font>
      <u/>
      <sz val="12"/>
      <color theme="10"/>
      <name val="Aptos Narrow"/>
      <scheme val="minor"/>
    </font>
    <font>
      <sz val="16"/>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1" fillId="0" borderId="0" xfId="0" applyFont="1"/>
    <xf numFmtId="0" fontId="3" fillId="0" borderId="0" xfId="0" applyFont="1"/>
    <xf numFmtId="0" fontId="4" fillId="0" borderId="0" xfId="0" applyFont="1"/>
    <xf numFmtId="0" fontId="0" fillId="0" borderId="0" xfId="0" applyAlignment="1">
      <alignment wrapText="1" shrinkToFit="1"/>
    </xf>
    <xf numFmtId="0" fontId="0" fillId="0" borderId="0" xfId="0" applyAlignment="1">
      <alignment wrapText="1"/>
    </xf>
    <xf numFmtId="2" fontId="0" fillId="0" borderId="0" xfId="0" applyNumberFormat="1" applyAlignment="1">
      <alignment wrapText="1"/>
    </xf>
    <xf numFmtId="0" fontId="6" fillId="0" borderId="0" xfId="0" applyFont="1" applyAlignment="1">
      <alignment vertical="center" wrapText="1"/>
    </xf>
    <xf numFmtId="0" fontId="5" fillId="0" borderId="0" xfId="0" applyFont="1" applyAlignment="1">
      <alignment vertical="center" wrapText="1"/>
    </xf>
    <xf numFmtId="0" fontId="0" fillId="0" borderId="0" xfId="0" applyAlignment="1">
      <alignment horizontal="left"/>
    </xf>
    <xf numFmtId="0" fontId="3" fillId="0" borderId="0" xfId="0" applyFont="1" applyAlignment="1">
      <alignment horizontal="left"/>
    </xf>
    <xf numFmtId="0" fontId="7" fillId="0" borderId="0" xfId="1" applyFont="1" applyAlignment="1">
      <alignment horizontal="left"/>
    </xf>
    <xf numFmtId="0" fontId="8" fillId="0" borderId="0" xfId="0" applyFont="1"/>
    <xf numFmtId="0" fontId="4" fillId="0" borderId="0" xfId="0" applyFont="1" applyAlignment="1">
      <alignment horizontal="left"/>
    </xf>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0" fontId="0" fillId="0" borderId="0" xfId="0"/>
    <xf numFmtId="0" fontId="3" fillId="0" borderId="0" xfId="0" applyFont="1" applyAlignment="1">
      <alignment horizontal="left"/>
    </xf>
    <xf numFmtId="0" fontId="3" fillId="0" borderId="0" xfId="0" applyFont="1"/>
    <xf numFmtId="0" fontId="4" fillId="0" borderId="0" xfId="0" applyFont="1" applyAlignment="1">
      <alignment horizontal="left"/>
    </xf>
    <xf numFmtId="0" fontId="0" fillId="0" borderId="0" xfId="0" applyAlignment="1">
      <alignment horizontal="center" wrapText="1" shrinkToFi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RE@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1D490-9CB8-8442-8A53-346B4F90514E}">
  <dimension ref="A1:Q90"/>
  <sheetViews>
    <sheetView tabSelected="1" zoomScale="113" zoomScaleNormal="191" workbookViewId="0">
      <pane xSplit="2" topLeftCell="C1" activePane="topRight" state="frozen"/>
      <selection activeCell="A64" sqref="A64"/>
      <selection pane="topRight" activeCell="B8" sqref="B8:B9"/>
    </sheetView>
  </sheetViews>
  <sheetFormatPr baseColWidth="10" defaultRowHeight="16" x14ac:dyDescent="0.2"/>
  <cols>
    <col min="1" max="1" width="3.83203125" customWidth="1"/>
    <col min="2" max="2" width="25.1640625" style="10" customWidth="1"/>
    <col min="3" max="3" width="70" style="2" customWidth="1"/>
    <col min="4" max="4" width="44.83203125" style="10" customWidth="1"/>
    <col min="5" max="5" width="15" style="2" customWidth="1"/>
    <col min="6" max="6" width="18.33203125" style="9" customWidth="1"/>
    <col min="7" max="7" width="8.5" customWidth="1"/>
    <col min="8" max="8" width="17.1640625" style="2" customWidth="1"/>
    <col min="9" max="9" width="32.33203125" style="9" customWidth="1"/>
    <col min="10" max="10" width="21.83203125" style="9" customWidth="1"/>
    <col min="11" max="11" width="28" customWidth="1"/>
    <col min="12" max="12" width="27.1640625" customWidth="1"/>
    <col min="13" max="13" width="24.6640625" customWidth="1"/>
    <col min="14" max="14" width="23.33203125" customWidth="1"/>
    <col min="15" max="15" width="13.1640625" customWidth="1"/>
    <col min="16" max="16" width="26.83203125" customWidth="1"/>
    <col min="17" max="17" width="30.5" customWidth="1"/>
  </cols>
  <sheetData>
    <row r="1" spans="1:17" s="1" customFormat="1" ht="25" customHeight="1" x14ac:dyDescent="0.3">
      <c r="A1" s="16" t="s">
        <v>36</v>
      </c>
      <c r="B1" s="16"/>
      <c r="C1" s="16"/>
      <c r="D1" s="16"/>
      <c r="E1" s="12" t="s">
        <v>40</v>
      </c>
      <c r="F1" s="16" t="s">
        <v>41</v>
      </c>
      <c r="G1" s="16"/>
      <c r="H1" s="12" t="s">
        <v>42</v>
      </c>
      <c r="I1" s="16" t="s">
        <v>43</v>
      </c>
      <c r="J1" s="16"/>
      <c r="K1" s="1" t="s">
        <v>44</v>
      </c>
      <c r="L1" s="1" t="s">
        <v>45</v>
      </c>
      <c r="M1" s="16" t="s">
        <v>46</v>
      </c>
      <c r="N1" s="16"/>
      <c r="O1" s="16"/>
      <c r="P1" s="16"/>
      <c r="Q1" s="1" t="s">
        <v>47</v>
      </c>
    </row>
    <row r="2" spans="1:17" x14ac:dyDescent="0.2">
      <c r="A2" t="s">
        <v>4</v>
      </c>
      <c r="B2" s="10" t="s">
        <v>0</v>
      </c>
      <c r="C2" s="2" t="s">
        <v>3</v>
      </c>
      <c r="D2" s="10" t="s">
        <v>1</v>
      </c>
      <c r="E2" s="2" t="s">
        <v>5</v>
      </c>
      <c r="F2" s="9" t="s">
        <v>7</v>
      </c>
      <c r="G2" t="s">
        <v>776</v>
      </c>
      <c r="H2" s="2" t="s">
        <v>2</v>
      </c>
      <c r="I2" s="9" t="s">
        <v>10</v>
      </c>
      <c r="J2" s="9" t="s">
        <v>784</v>
      </c>
      <c r="K2" t="s">
        <v>6</v>
      </c>
      <c r="L2" t="s">
        <v>38</v>
      </c>
      <c r="M2" t="s">
        <v>23</v>
      </c>
      <c r="N2" t="s">
        <v>39</v>
      </c>
      <c r="O2" s="15" t="s">
        <v>774</v>
      </c>
      <c r="P2" s="15"/>
      <c r="Q2" t="s">
        <v>37</v>
      </c>
    </row>
    <row r="3" spans="1:17" x14ac:dyDescent="0.2">
      <c r="A3" s="15">
        <v>1</v>
      </c>
      <c r="C3" s="2" t="s">
        <v>12</v>
      </c>
      <c r="D3" s="10" t="s">
        <v>8</v>
      </c>
      <c r="E3" s="18" t="s">
        <v>752</v>
      </c>
      <c r="F3" s="20" t="s">
        <v>369</v>
      </c>
      <c r="H3" s="2" t="s">
        <v>9</v>
      </c>
      <c r="K3" t="s">
        <v>11</v>
      </c>
      <c r="L3" t="s">
        <v>9</v>
      </c>
    </row>
    <row r="4" spans="1:17" x14ac:dyDescent="0.2">
      <c r="A4" s="15"/>
      <c r="C4" s="2" t="s">
        <v>13</v>
      </c>
      <c r="D4" s="10" t="s">
        <v>14</v>
      </c>
      <c r="E4" s="18"/>
      <c r="F4" s="20"/>
      <c r="H4" s="2" t="s">
        <v>9</v>
      </c>
      <c r="I4" s="9" t="s">
        <v>15</v>
      </c>
      <c r="J4" s="9" t="s">
        <v>793</v>
      </c>
      <c r="K4" t="s">
        <v>16</v>
      </c>
      <c r="L4" t="s">
        <v>9</v>
      </c>
    </row>
    <row r="5" spans="1:17" x14ac:dyDescent="0.2">
      <c r="A5" s="15"/>
      <c r="C5" s="2" t="s">
        <v>20</v>
      </c>
      <c r="D5" s="10" t="s">
        <v>17</v>
      </c>
      <c r="E5" s="18"/>
      <c r="F5" s="20"/>
      <c r="H5" s="2" t="s">
        <v>9</v>
      </c>
      <c r="I5" s="9" t="s">
        <v>18</v>
      </c>
      <c r="J5" s="9" t="s">
        <v>792</v>
      </c>
      <c r="K5" t="s">
        <v>19</v>
      </c>
      <c r="L5" t="s">
        <v>9</v>
      </c>
    </row>
    <row r="6" spans="1:17" x14ac:dyDescent="0.2">
      <c r="A6" s="15">
        <v>2</v>
      </c>
      <c r="B6" s="18" t="s">
        <v>21</v>
      </c>
      <c r="C6" s="2" t="s">
        <v>22</v>
      </c>
      <c r="D6" s="18" t="s">
        <v>390</v>
      </c>
      <c r="E6" s="19" t="s">
        <v>754</v>
      </c>
      <c r="F6" s="14" t="s">
        <v>370</v>
      </c>
      <c r="H6" s="2" t="s">
        <v>9</v>
      </c>
      <c r="I6" s="14" t="s">
        <v>142</v>
      </c>
      <c r="J6" s="14" t="s">
        <v>791</v>
      </c>
      <c r="K6" s="17" t="s">
        <v>25</v>
      </c>
      <c r="L6" t="s">
        <v>9</v>
      </c>
    </row>
    <row r="7" spans="1:17" x14ac:dyDescent="0.2">
      <c r="A7" s="15"/>
      <c r="B7" s="18"/>
      <c r="C7" s="2" t="s">
        <v>141</v>
      </c>
      <c r="D7" s="18"/>
      <c r="E7" s="19"/>
      <c r="F7" s="14"/>
      <c r="H7" s="3" t="s">
        <v>826</v>
      </c>
      <c r="I7" s="14"/>
      <c r="J7" s="14"/>
      <c r="K7" s="17"/>
      <c r="L7" t="s">
        <v>804</v>
      </c>
      <c r="M7" t="s">
        <v>812</v>
      </c>
      <c r="N7" s="3" t="s">
        <v>145</v>
      </c>
      <c r="O7">
        <v>107</v>
      </c>
      <c r="P7" t="s">
        <v>143</v>
      </c>
      <c r="Q7" t="s">
        <v>144</v>
      </c>
    </row>
    <row r="8" spans="1:17" x14ac:dyDescent="0.2">
      <c r="A8" s="15">
        <v>3</v>
      </c>
      <c r="B8" s="18" t="s">
        <v>26</v>
      </c>
      <c r="C8" s="2" t="s">
        <v>27</v>
      </c>
      <c r="D8" s="18" t="s">
        <v>28</v>
      </c>
      <c r="E8" s="19" t="s">
        <v>757</v>
      </c>
      <c r="F8" s="14" t="s">
        <v>371</v>
      </c>
      <c r="H8" s="3" t="s">
        <v>825</v>
      </c>
      <c r="K8" t="s">
        <v>30</v>
      </c>
      <c r="L8" t="s">
        <v>9</v>
      </c>
    </row>
    <row r="9" spans="1:17" x14ac:dyDescent="0.2">
      <c r="A9" s="15"/>
      <c r="B9" s="18"/>
      <c r="C9" s="2" t="s">
        <v>199</v>
      </c>
      <c r="D9" s="18"/>
      <c r="E9" s="19"/>
      <c r="F9" s="14"/>
      <c r="H9" s="2" t="s">
        <v>9</v>
      </c>
      <c r="I9" s="9" t="s">
        <v>200</v>
      </c>
      <c r="J9" s="9" t="s">
        <v>785</v>
      </c>
      <c r="K9" t="s">
        <v>202</v>
      </c>
      <c r="L9" t="s">
        <v>804</v>
      </c>
      <c r="M9" t="s">
        <v>138</v>
      </c>
      <c r="N9" s="3" t="s">
        <v>201</v>
      </c>
      <c r="O9">
        <v>14</v>
      </c>
      <c r="Q9" t="s">
        <v>203</v>
      </c>
    </row>
    <row r="10" spans="1:17" x14ac:dyDescent="0.2">
      <c r="A10" s="15">
        <v>4</v>
      </c>
      <c r="B10" s="18" t="s">
        <v>31</v>
      </c>
      <c r="C10" s="2" t="s">
        <v>32</v>
      </c>
      <c r="D10" s="18" t="s">
        <v>389</v>
      </c>
      <c r="E10" s="19" t="s">
        <v>758</v>
      </c>
      <c r="F10" s="14" t="s">
        <v>371</v>
      </c>
      <c r="H10" s="2" t="s">
        <v>9</v>
      </c>
      <c r="L10" t="s">
        <v>804</v>
      </c>
      <c r="M10" t="s">
        <v>138</v>
      </c>
      <c r="N10" t="s">
        <v>48</v>
      </c>
      <c r="O10">
        <v>31</v>
      </c>
      <c r="P10" t="s">
        <v>33</v>
      </c>
    </row>
    <row r="11" spans="1:17" x14ac:dyDescent="0.2">
      <c r="A11" s="15"/>
      <c r="B11" s="18"/>
      <c r="C11" s="2" t="s">
        <v>352</v>
      </c>
      <c r="D11" s="18"/>
      <c r="E11" s="19"/>
      <c r="F11" s="14"/>
      <c r="H11" s="2" t="s">
        <v>830</v>
      </c>
      <c r="I11" s="9" t="s">
        <v>355</v>
      </c>
      <c r="J11" s="9" t="s">
        <v>786</v>
      </c>
      <c r="K11" t="s">
        <v>354</v>
      </c>
      <c r="L11" t="s">
        <v>804</v>
      </c>
      <c r="M11" t="s">
        <v>812</v>
      </c>
      <c r="N11" t="s">
        <v>353</v>
      </c>
      <c r="O11">
        <v>31</v>
      </c>
      <c r="P11" t="s">
        <v>356</v>
      </c>
      <c r="Q11" t="s">
        <v>843</v>
      </c>
    </row>
    <row r="12" spans="1:17" ht="17" customHeight="1" x14ac:dyDescent="0.2">
      <c r="A12" s="15">
        <v>5</v>
      </c>
      <c r="B12" s="18" t="s">
        <v>34</v>
      </c>
      <c r="C12" s="2" t="s">
        <v>51</v>
      </c>
      <c r="D12" s="18" t="s">
        <v>50</v>
      </c>
      <c r="E12" s="19" t="s">
        <v>752</v>
      </c>
      <c r="F12" s="20" t="s">
        <v>369</v>
      </c>
      <c r="H12" s="2" t="s">
        <v>9</v>
      </c>
      <c r="I12" s="15"/>
      <c r="J12" s="14"/>
      <c r="K12" t="s">
        <v>48</v>
      </c>
      <c r="L12" t="s">
        <v>9</v>
      </c>
    </row>
    <row r="13" spans="1:17" x14ac:dyDescent="0.2">
      <c r="A13" s="15"/>
      <c r="B13" s="18"/>
      <c r="C13" s="2" t="s">
        <v>392</v>
      </c>
      <c r="D13" s="18"/>
      <c r="E13" s="19"/>
      <c r="F13" s="20"/>
      <c r="H13" s="2" t="s">
        <v>9</v>
      </c>
      <c r="I13" s="15"/>
      <c r="J13" s="14"/>
      <c r="K13" t="s">
        <v>108</v>
      </c>
      <c r="L13" t="s">
        <v>9</v>
      </c>
    </row>
    <row r="14" spans="1:17" x14ac:dyDescent="0.2">
      <c r="A14" s="15">
        <v>6</v>
      </c>
      <c r="B14" s="18" t="s">
        <v>35</v>
      </c>
      <c r="C14" s="2" t="s">
        <v>52</v>
      </c>
      <c r="D14" s="18" t="s">
        <v>53</v>
      </c>
      <c r="E14" s="19" t="s">
        <v>753</v>
      </c>
      <c r="F14" s="14" t="s">
        <v>823</v>
      </c>
      <c r="H14" s="2" t="s">
        <v>9</v>
      </c>
      <c r="I14" s="14" t="s">
        <v>54</v>
      </c>
      <c r="J14" s="14" t="s">
        <v>791</v>
      </c>
      <c r="K14" s="17" t="s">
        <v>112</v>
      </c>
      <c r="L14" t="s">
        <v>9</v>
      </c>
    </row>
    <row r="15" spans="1:17" x14ac:dyDescent="0.2">
      <c r="A15" s="15"/>
      <c r="B15" s="18"/>
      <c r="C15" s="2" t="s">
        <v>55</v>
      </c>
      <c r="D15" s="18"/>
      <c r="E15" s="19"/>
      <c r="F15" s="14"/>
      <c r="G15" t="s">
        <v>775</v>
      </c>
      <c r="H15" s="2" t="s">
        <v>376</v>
      </c>
      <c r="I15" s="14"/>
      <c r="J15" s="14"/>
      <c r="K15" s="17"/>
      <c r="L15" t="s">
        <v>9</v>
      </c>
    </row>
    <row r="16" spans="1:17" x14ac:dyDescent="0.2">
      <c r="A16" s="15"/>
      <c r="B16" s="18"/>
      <c r="C16" s="2" t="s">
        <v>81</v>
      </c>
      <c r="D16" s="18"/>
      <c r="E16" s="19"/>
      <c r="F16" s="14"/>
      <c r="H16" s="3" t="s">
        <v>82</v>
      </c>
      <c r="I16" s="14"/>
      <c r="J16" s="14"/>
      <c r="K16" s="17"/>
      <c r="L16" t="s">
        <v>9</v>
      </c>
    </row>
    <row r="17" spans="1:17" x14ac:dyDescent="0.2">
      <c r="A17" s="15"/>
      <c r="B17" s="18"/>
      <c r="C17" s="2" t="s">
        <v>111</v>
      </c>
      <c r="D17" s="18"/>
      <c r="E17" s="19"/>
      <c r="F17" s="14"/>
      <c r="H17" s="2" t="s">
        <v>9</v>
      </c>
      <c r="I17" s="14"/>
      <c r="J17" s="14"/>
      <c r="K17" s="17"/>
      <c r="L17" t="s">
        <v>804</v>
      </c>
      <c r="M17" t="s">
        <v>810</v>
      </c>
      <c r="N17" t="s">
        <v>91</v>
      </c>
      <c r="O17">
        <v>1086</v>
      </c>
      <c r="P17" t="s">
        <v>114</v>
      </c>
      <c r="Q17" t="s">
        <v>115</v>
      </c>
    </row>
    <row r="18" spans="1:17" x14ac:dyDescent="0.2">
      <c r="A18" s="15"/>
      <c r="B18" s="18"/>
      <c r="C18" s="2" t="s">
        <v>330</v>
      </c>
      <c r="D18" s="18"/>
      <c r="E18" s="19"/>
      <c r="F18" s="14"/>
      <c r="H18" s="2" t="s">
        <v>9</v>
      </c>
      <c r="I18" s="14"/>
      <c r="J18" s="14"/>
      <c r="K18" s="17"/>
      <c r="L18" t="s">
        <v>804</v>
      </c>
      <c r="M18" t="s">
        <v>812</v>
      </c>
      <c r="N18" t="s">
        <v>332</v>
      </c>
      <c r="O18">
        <v>91</v>
      </c>
      <c r="P18" t="s">
        <v>445</v>
      </c>
      <c r="Q18" t="s">
        <v>844</v>
      </c>
    </row>
    <row r="19" spans="1:17" x14ac:dyDescent="0.2">
      <c r="A19" s="15"/>
      <c r="B19" s="18"/>
      <c r="C19" s="2" t="s">
        <v>331</v>
      </c>
      <c r="D19" s="18"/>
      <c r="E19" s="19"/>
      <c r="F19" s="14"/>
      <c r="H19" s="2" t="s">
        <v>375</v>
      </c>
      <c r="I19" s="14"/>
      <c r="J19" s="14"/>
      <c r="K19" s="17"/>
      <c r="L19" t="s">
        <v>804</v>
      </c>
      <c r="M19" t="s">
        <v>810</v>
      </c>
      <c r="N19" t="s">
        <v>91</v>
      </c>
      <c r="O19">
        <v>139</v>
      </c>
      <c r="P19" t="s">
        <v>405</v>
      </c>
      <c r="Q19" t="s">
        <v>333</v>
      </c>
    </row>
    <row r="20" spans="1:17" x14ac:dyDescent="0.2">
      <c r="A20" s="15">
        <v>7</v>
      </c>
      <c r="B20" s="18" t="s">
        <v>56</v>
      </c>
      <c r="C20" s="2" t="s">
        <v>57</v>
      </c>
      <c r="D20" s="18" t="s">
        <v>391</v>
      </c>
      <c r="E20" s="19" t="s">
        <v>754</v>
      </c>
      <c r="F20" s="14" t="s">
        <v>372</v>
      </c>
      <c r="H20" s="2" t="s">
        <v>9</v>
      </c>
      <c r="I20" s="14" t="s">
        <v>788</v>
      </c>
      <c r="J20" s="14" t="s">
        <v>794</v>
      </c>
      <c r="L20" t="s">
        <v>9</v>
      </c>
    </row>
    <row r="21" spans="1:17" x14ac:dyDescent="0.2">
      <c r="A21" s="15"/>
      <c r="B21" s="18"/>
      <c r="C21" s="2" t="s">
        <v>99</v>
      </c>
      <c r="D21" s="18"/>
      <c r="E21" s="19"/>
      <c r="F21" s="14"/>
      <c r="H21" s="2" t="s">
        <v>828</v>
      </c>
      <c r="I21" s="14"/>
      <c r="J21" s="14"/>
      <c r="L21" t="s">
        <v>9</v>
      </c>
    </row>
    <row r="22" spans="1:17" x14ac:dyDescent="0.2">
      <c r="A22" s="15"/>
      <c r="B22" s="18"/>
      <c r="C22" s="2" t="s">
        <v>227</v>
      </c>
      <c r="D22" s="18"/>
      <c r="E22" s="19"/>
      <c r="F22" s="14"/>
      <c r="H22" s="2" t="s">
        <v>9</v>
      </c>
      <c r="I22" s="14"/>
      <c r="J22" s="14"/>
      <c r="K22" t="s">
        <v>228</v>
      </c>
      <c r="L22" t="s">
        <v>804</v>
      </c>
      <c r="M22" t="s">
        <v>398</v>
      </c>
      <c r="N22" s="3" t="s">
        <v>229</v>
      </c>
      <c r="O22">
        <v>116</v>
      </c>
      <c r="P22" t="s">
        <v>230</v>
      </c>
      <c r="Q22" t="s">
        <v>231</v>
      </c>
    </row>
    <row r="23" spans="1:17" ht="17" customHeight="1" x14ac:dyDescent="0.2">
      <c r="A23">
        <v>8</v>
      </c>
      <c r="B23" s="10" t="s">
        <v>58</v>
      </c>
      <c r="C23" s="2" t="s">
        <v>59</v>
      </c>
      <c r="D23" s="10" t="s">
        <v>60</v>
      </c>
      <c r="E23" s="3" t="s">
        <v>759</v>
      </c>
      <c r="F23" s="9" t="s">
        <v>371</v>
      </c>
      <c r="H23" s="3" t="s">
        <v>61</v>
      </c>
      <c r="I23" s="9" t="s">
        <v>62</v>
      </c>
      <c r="J23" s="9" t="s">
        <v>789</v>
      </c>
      <c r="K23" t="s">
        <v>63</v>
      </c>
      <c r="L23" s="3" t="s">
        <v>809</v>
      </c>
      <c r="M23" s="3" t="s">
        <v>113</v>
      </c>
      <c r="N23" s="3" t="s">
        <v>64</v>
      </c>
      <c r="O23">
        <v>21</v>
      </c>
      <c r="P23" t="s">
        <v>65</v>
      </c>
      <c r="Q23" t="s">
        <v>66</v>
      </c>
    </row>
    <row r="24" spans="1:17" x14ac:dyDescent="0.2">
      <c r="A24">
        <v>9</v>
      </c>
      <c r="B24" s="10" t="s">
        <v>67</v>
      </c>
      <c r="C24" s="2" t="s">
        <v>68</v>
      </c>
      <c r="D24" s="10" t="s">
        <v>69</v>
      </c>
      <c r="E24" s="2" t="s">
        <v>752</v>
      </c>
      <c r="F24" s="13" t="s">
        <v>369</v>
      </c>
      <c r="H24" s="2" t="s">
        <v>9</v>
      </c>
      <c r="K24" t="s">
        <v>70</v>
      </c>
      <c r="L24" t="s">
        <v>804</v>
      </c>
      <c r="M24" t="s">
        <v>812</v>
      </c>
      <c r="N24" s="3" t="s">
        <v>71</v>
      </c>
      <c r="O24">
        <v>46</v>
      </c>
      <c r="P24" t="s">
        <v>72</v>
      </c>
      <c r="Q24" t="s">
        <v>73</v>
      </c>
    </row>
    <row r="25" spans="1:17" x14ac:dyDescent="0.2">
      <c r="A25">
        <v>10</v>
      </c>
      <c r="B25" s="10" t="s">
        <v>74</v>
      </c>
      <c r="C25" s="2" t="s">
        <v>366</v>
      </c>
      <c r="D25" s="10" t="s">
        <v>75</v>
      </c>
      <c r="E25" s="2" t="s">
        <v>758</v>
      </c>
      <c r="F25" s="9" t="s">
        <v>371</v>
      </c>
      <c r="H25" s="2" t="s">
        <v>9</v>
      </c>
      <c r="I25" s="9" t="s">
        <v>76</v>
      </c>
      <c r="J25" s="9" t="s">
        <v>790</v>
      </c>
      <c r="K25" t="s">
        <v>78</v>
      </c>
      <c r="L25" t="s">
        <v>804</v>
      </c>
      <c r="M25" t="s">
        <v>138</v>
      </c>
      <c r="N25" s="3" t="s">
        <v>71</v>
      </c>
      <c r="O25">
        <v>50</v>
      </c>
      <c r="P25" t="s">
        <v>79</v>
      </c>
      <c r="Q25" t="s">
        <v>77</v>
      </c>
    </row>
    <row r="26" spans="1:17" x14ac:dyDescent="0.2">
      <c r="A26" s="15">
        <v>11</v>
      </c>
      <c r="B26" s="18" t="s">
        <v>80</v>
      </c>
      <c r="C26" s="2" t="s">
        <v>102</v>
      </c>
      <c r="D26" s="18" t="s">
        <v>103</v>
      </c>
      <c r="E26" s="19" t="s">
        <v>752</v>
      </c>
      <c r="F26" s="20" t="s">
        <v>369</v>
      </c>
      <c r="H26" s="2" t="s">
        <v>9</v>
      </c>
      <c r="L26" t="s">
        <v>9</v>
      </c>
    </row>
    <row r="27" spans="1:17" x14ac:dyDescent="0.2">
      <c r="A27" s="15"/>
      <c r="B27" s="18"/>
      <c r="C27" s="2" t="s">
        <v>101</v>
      </c>
      <c r="D27" s="18"/>
      <c r="E27" s="19"/>
      <c r="F27" s="20"/>
      <c r="H27" s="2" t="s">
        <v>9</v>
      </c>
      <c r="I27" s="9" t="s">
        <v>381</v>
      </c>
      <c r="J27" s="9" t="s">
        <v>789</v>
      </c>
      <c r="K27" t="s">
        <v>104</v>
      </c>
      <c r="L27" s="3" t="s">
        <v>404</v>
      </c>
      <c r="M27" s="3" t="s">
        <v>113</v>
      </c>
      <c r="N27" t="s">
        <v>105</v>
      </c>
      <c r="O27">
        <v>141</v>
      </c>
      <c r="P27" t="s">
        <v>106</v>
      </c>
      <c r="Q27" t="s">
        <v>107</v>
      </c>
    </row>
    <row r="28" spans="1:17" x14ac:dyDescent="0.2">
      <c r="A28" s="15"/>
      <c r="B28" s="18"/>
      <c r="C28" s="2" t="s">
        <v>161</v>
      </c>
      <c r="D28" s="18"/>
      <c r="E28" s="19"/>
      <c r="F28" s="20"/>
      <c r="H28" s="2" t="s">
        <v>9</v>
      </c>
      <c r="L28" s="2" t="s">
        <v>9</v>
      </c>
      <c r="N28" t="s">
        <v>105</v>
      </c>
      <c r="O28" t="s">
        <v>393</v>
      </c>
      <c r="P28" t="s">
        <v>33</v>
      </c>
      <c r="Q28" t="s">
        <v>162</v>
      </c>
    </row>
    <row r="29" spans="1:17" ht="15" customHeight="1" x14ac:dyDescent="0.2">
      <c r="A29">
        <v>12</v>
      </c>
      <c r="C29" s="2" t="s">
        <v>83</v>
      </c>
      <c r="D29" s="10" t="s">
        <v>84</v>
      </c>
      <c r="E29" s="3" t="s">
        <v>755</v>
      </c>
      <c r="F29" s="9" t="s">
        <v>371</v>
      </c>
      <c r="H29" s="3" t="s">
        <v>85</v>
      </c>
      <c r="L29" t="s">
        <v>9</v>
      </c>
    </row>
    <row r="30" spans="1:17" x14ac:dyDescent="0.2">
      <c r="A30">
        <v>13</v>
      </c>
      <c r="B30" s="10" t="s">
        <v>86</v>
      </c>
      <c r="C30" s="2" t="s">
        <v>368</v>
      </c>
      <c r="D30" s="10" t="s">
        <v>87</v>
      </c>
      <c r="E30" s="2" t="s">
        <v>754</v>
      </c>
      <c r="F30" s="9" t="s">
        <v>370</v>
      </c>
      <c r="G30" t="s">
        <v>778</v>
      </c>
      <c r="H30" s="3" t="s">
        <v>88</v>
      </c>
      <c r="I30" s="9" t="s">
        <v>89</v>
      </c>
      <c r="J30" s="9" t="s">
        <v>791</v>
      </c>
      <c r="K30" t="s">
        <v>90</v>
      </c>
      <c r="L30" s="3" t="s">
        <v>394</v>
      </c>
      <c r="M30" s="3" t="s">
        <v>113</v>
      </c>
      <c r="N30" t="s">
        <v>91</v>
      </c>
      <c r="O30">
        <v>13</v>
      </c>
      <c r="P30" t="s">
        <v>49</v>
      </c>
      <c r="Q30" t="s">
        <v>92</v>
      </c>
    </row>
    <row r="31" spans="1:17" x14ac:dyDescent="0.2">
      <c r="A31" s="15">
        <v>14</v>
      </c>
      <c r="C31" s="2" t="s">
        <v>93</v>
      </c>
      <c r="D31" s="18" t="s">
        <v>805</v>
      </c>
      <c r="E31" s="19" t="s">
        <v>752</v>
      </c>
      <c r="F31" s="14" t="s">
        <v>373</v>
      </c>
      <c r="H31" s="2" t="s">
        <v>9</v>
      </c>
      <c r="I31" s="14" t="s">
        <v>94</v>
      </c>
      <c r="J31" s="14" t="s">
        <v>795</v>
      </c>
      <c r="K31" t="s">
        <v>95</v>
      </c>
      <c r="L31" t="s">
        <v>804</v>
      </c>
      <c r="M31" s="3" t="s">
        <v>113</v>
      </c>
      <c r="N31" t="s">
        <v>96</v>
      </c>
      <c r="O31">
        <v>54</v>
      </c>
      <c r="P31" t="s">
        <v>97</v>
      </c>
      <c r="Q31" t="s">
        <v>98</v>
      </c>
    </row>
    <row r="32" spans="1:17" x14ac:dyDescent="0.2">
      <c r="A32" s="15"/>
      <c r="C32" s="2" t="s">
        <v>193</v>
      </c>
      <c r="D32" s="18"/>
      <c r="E32" s="19"/>
      <c r="F32" s="14"/>
      <c r="H32" s="2" t="s">
        <v>9</v>
      </c>
      <c r="I32" s="14"/>
      <c r="J32" s="14"/>
      <c r="L32" s="3" t="s">
        <v>395</v>
      </c>
      <c r="M32" t="s">
        <v>48</v>
      </c>
      <c r="N32" t="s">
        <v>48</v>
      </c>
    </row>
    <row r="33" spans="1:17" ht="17" customHeight="1" x14ac:dyDescent="0.2">
      <c r="A33">
        <v>15</v>
      </c>
      <c r="C33" s="2" t="s">
        <v>109</v>
      </c>
      <c r="D33" s="10" t="s">
        <v>110</v>
      </c>
      <c r="E33" s="2" t="s">
        <v>752</v>
      </c>
      <c r="F33" s="13" t="s">
        <v>369</v>
      </c>
      <c r="H33" s="3" t="s">
        <v>29</v>
      </c>
      <c r="L33" t="s">
        <v>9</v>
      </c>
    </row>
    <row r="34" spans="1:17" x14ac:dyDescent="0.2">
      <c r="A34">
        <v>16</v>
      </c>
      <c r="C34" s="2" t="s">
        <v>364</v>
      </c>
      <c r="D34" s="10" t="s">
        <v>385</v>
      </c>
      <c r="E34" s="2" t="s">
        <v>752</v>
      </c>
      <c r="F34" s="9" t="s">
        <v>373</v>
      </c>
      <c r="H34" s="2" t="s">
        <v>9</v>
      </c>
      <c r="I34" s="9" t="s">
        <v>48</v>
      </c>
      <c r="K34" t="s">
        <v>116</v>
      </c>
      <c r="L34" t="s">
        <v>804</v>
      </c>
      <c r="M34" t="s">
        <v>810</v>
      </c>
      <c r="N34" t="s">
        <v>396</v>
      </c>
      <c r="O34">
        <v>59</v>
      </c>
      <c r="P34" t="s">
        <v>117</v>
      </c>
      <c r="Q34" t="s">
        <v>118</v>
      </c>
    </row>
    <row r="35" spans="1:17" x14ac:dyDescent="0.2">
      <c r="A35" s="15">
        <v>17</v>
      </c>
      <c r="B35" s="18" t="s">
        <v>179</v>
      </c>
      <c r="C35" s="2" t="s">
        <v>119</v>
      </c>
      <c r="D35" s="18" t="s">
        <v>120</v>
      </c>
      <c r="E35" s="19" t="s">
        <v>752</v>
      </c>
      <c r="F35" s="14" t="s">
        <v>369</v>
      </c>
      <c r="H35" s="2" t="s">
        <v>9</v>
      </c>
      <c r="I35" s="14" t="s">
        <v>121</v>
      </c>
      <c r="J35" s="14" t="s">
        <v>796</v>
      </c>
      <c r="K35" s="17" t="s">
        <v>122</v>
      </c>
      <c r="L35" t="s">
        <v>9</v>
      </c>
    </row>
    <row r="36" spans="1:17" x14ac:dyDescent="0.2">
      <c r="A36" s="15"/>
      <c r="B36" s="18"/>
      <c r="C36" s="2" t="s">
        <v>180</v>
      </c>
      <c r="D36" s="18"/>
      <c r="E36" s="19"/>
      <c r="F36" s="14"/>
      <c r="H36" s="2" t="s">
        <v>9</v>
      </c>
      <c r="I36" s="14"/>
      <c r="J36" s="14"/>
      <c r="K36" s="17"/>
      <c r="L36" t="s">
        <v>9</v>
      </c>
    </row>
    <row r="37" spans="1:17" ht="17" customHeight="1" x14ac:dyDescent="0.2">
      <c r="A37" s="15"/>
      <c r="B37" s="18"/>
      <c r="C37" s="2" t="s">
        <v>211</v>
      </c>
      <c r="D37" s="18"/>
      <c r="E37" s="19"/>
      <c r="F37" s="14"/>
      <c r="G37" t="s">
        <v>779</v>
      </c>
      <c r="H37" s="2" t="s">
        <v>9</v>
      </c>
      <c r="I37" s="14"/>
      <c r="J37" s="14"/>
      <c r="K37" s="17"/>
      <c r="L37" t="s">
        <v>804</v>
      </c>
      <c r="M37" t="s">
        <v>810</v>
      </c>
      <c r="N37" s="3" t="s">
        <v>213</v>
      </c>
      <c r="O37">
        <v>46</v>
      </c>
      <c r="P37" t="s">
        <v>212</v>
      </c>
      <c r="Q37" t="s">
        <v>214</v>
      </c>
    </row>
    <row r="38" spans="1:17" x14ac:dyDescent="0.2">
      <c r="A38" s="15"/>
      <c r="B38" s="18"/>
      <c r="C38" s="2" t="s">
        <v>215</v>
      </c>
      <c r="D38" s="18"/>
      <c r="E38" s="19"/>
      <c r="F38" s="14"/>
      <c r="H38" s="2" t="s">
        <v>9</v>
      </c>
      <c r="I38" s="14"/>
      <c r="J38" s="14"/>
      <c r="K38" s="17"/>
      <c r="L38" t="s">
        <v>804</v>
      </c>
      <c r="M38" t="s">
        <v>138</v>
      </c>
      <c r="N38" s="3" t="s">
        <v>213</v>
      </c>
      <c r="O38">
        <v>46</v>
      </c>
      <c r="P38" t="s">
        <v>212</v>
      </c>
      <c r="Q38" t="s">
        <v>216</v>
      </c>
    </row>
    <row r="39" spans="1:17" ht="18" customHeight="1" x14ac:dyDescent="0.2">
      <c r="A39">
        <v>18</v>
      </c>
      <c r="C39" s="2" t="s">
        <v>123</v>
      </c>
      <c r="D39" s="10" t="s">
        <v>365</v>
      </c>
      <c r="E39" s="2" t="s">
        <v>754</v>
      </c>
      <c r="F39" s="9" t="s">
        <v>823</v>
      </c>
      <c r="H39" s="3" t="s">
        <v>124</v>
      </c>
      <c r="I39" s="9" t="s">
        <v>125</v>
      </c>
      <c r="J39" s="9" t="s">
        <v>791</v>
      </c>
      <c r="L39" t="s">
        <v>9</v>
      </c>
    </row>
    <row r="40" spans="1:17" x14ac:dyDescent="0.2">
      <c r="A40" s="15">
        <v>19</v>
      </c>
      <c r="B40" s="18" t="s">
        <v>126</v>
      </c>
      <c r="C40" s="2" t="s">
        <v>127</v>
      </c>
      <c r="D40" s="18" t="s">
        <v>128</v>
      </c>
      <c r="E40" s="19" t="s">
        <v>752</v>
      </c>
      <c r="F40" s="14" t="s">
        <v>369</v>
      </c>
      <c r="H40" s="2" t="s">
        <v>9</v>
      </c>
      <c r="I40" s="14" t="s">
        <v>129</v>
      </c>
      <c r="J40" s="14" t="s">
        <v>797</v>
      </c>
      <c r="K40" s="17" t="s">
        <v>130</v>
      </c>
      <c r="L40" t="s">
        <v>804</v>
      </c>
      <c r="M40" s="3" t="s">
        <v>113</v>
      </c>
      <c r="N40" t="s">
        <v>91</v>
      </c>
      <c r="O40">
        <v>106</v>
      </c>
      <c r="P40" t="s">
        <v>131</v>
      </c>
      <c r="Q40" t="s">
        <v>132</v>
      </c>
    </row>
    <row r="41" spans="1:17" x14ac:dyDescent="0.2">
      <c r="A41" s="15"/>
      <c r="B41" s="18"/>
      <c r="C41" s="2" t="s">
        <v>155</v>
      </c>
      <c r="D41" s="18"/>
      <c r="E41" s="19"/>
      <c r="F41" s="14"/>
      <c r="H41" s="2" t="s">
        <v>9</v>
      </c>
      <c r="I41" s="14"/>
      <c r="J41" s="14"/>
      <c r="K41" s="17"/>
      <c r="L41" t="s">
        <v>816</v>
      </c>
      <c r="M41" s="3" t="s">
        <v>113</v>
      </c>
      <c r="N41" t="s">
        <v>91</v>
      </c>
      <c r="O41">
        <v>109</v>
      </c>
      <c r="P41" t="s">
        <v>397</v>
      </c>
      <c r="Q41" t="s">
        <v>156</v>
      </c>
    </row>
    <row r="42" spans="1:17" x14ac:dyDescent="0.2">
      <c r="A42" s="15">
        <v>20</v>
      </c>
      <c r="B42" s="18" t="s">
        <v>189</v>
      </c>
      <c r="C42" s="2" t="s">
        <v>133</v>
      </c>
      <c r="D42" s="18" t="s">
        <v>134</v>
      </c>
      <c r="E42" s="19" t="s">
        <v>760</v>
      </c>
      <c r="F42" s="14" t="s">
        <v>371</v>
      </c>
      <c r="G42" t="s">
        <v>135</v>
      </c>
      <c r="H42" s="2" t="s">
        <v>377</v>
      </c>
      <c r="I42" s="14" t="s">
        <v>136</v>
      </c>
      <c r="J42" s="14" t="s">
        <v>796</v>
      </c>
      <c r="K42" s="17" t="s">
        <v>137</v>
      </c>
      <c r="L42" t="s">
        <v>804</v>
      </c>
      <c r="M42" t="s">
        <v>138</v>
      </c>
      <c r="N42" t="s">
        <v>33</v>
      </c>
      <c r="O42">
        <v>16</v>
      </c>
      <c r="P42" t="s">
        <v>139</v>
      </c>
      <c r="Q42" t="s">
        <v>140</v>
      </c>
    </row>
    <row r="43" spans="1:17" x14ac:dyDescent="0.2">
      <c r="A43" s="15"/>
      <c r="B43" s="18"/>
      <c r="C43" s="2" t="s">
        <v>157</v>
      </c>
      <c r="D43" s="18"/>
      <c r="E43" s="19"/>
      <c r="F43" s="14"/>
      <c r="H43" s="2" t="s">
        <v>9</v>
      </c>
      <c r="I43" s="14"/>
      <c r="J43" s="14"/>
      <c r="K43" s="17"/>
      <c r="L43" t="s">
        <v>804</v>
      </c>
      <c r="M43" t="s">
        <v>138</v>
      </c>
      <c r="N43" t="s">
        <v>158</v>
      </c>
      <c r="O43">
        <v>64</v>
      </c>
      <c r="P43" t="s">
        <v>159</v>
      </c>
      <c r="Q43" t="s">
        <v>160</v>
      </c>
    </row>
    <row r="44" spans="1:17" x14ac:dyDescent="0.2">
      <c r="A44" s="15"/>
      <c r="B44" s="18"/>
      <c r="C44" s="2" t="s">
        <v>186</v>
      </c>
      <c r="D44" s="18"/>
      <c r="E44" s="19"/>
      <c r="F44" s="14"/>
      <c r="H44" s="2" t="s">
        <v>9</v>
      </c>
      <c r="I44" s="14"/>
      <c r="J44" s="14"/>
      <c r="K44" s="17"/>
      <c r="L44" t="s">
        <v>804</v>
      </c>
      <c r="M44" t="s">
        <v>138</v>
      </c>
      <c r="O44">
        <v>64</v>
      </c>
      <c r="P44" t="s">
        <v>159</v>
      </c>
    </row>
    <row r="45" spans="1:17" x14ac:dyDescent="0.2">
      <c r="A45" s="15"/>
      <c r="B45" s="18"/>
      <c r="C45" s="2" t="s">
        <v>187</v>
      </c>
      <c r="D45" s="18"/>
      <c r="E45" s="19"/>
      <c r="F45" s="14"/>
      <c r="H45" s="2" t="s">
        <v>829</v>
      </c>
      <c r="I45" s="9" t="s">
        <v>188</v>
      </c>
      <c r="J45" s="14"/>
      <c r="K45" t="s">
        <v>190</v>
      </c>
      <c r="L45" t="s">
        <v>9</v>
      </c>
    </row>
    <row r="46" spans="1:17" x14ac:dyDescent="0.2">
      <c r="A46" s="15"/>
      <c r="B46" s="18"/>
      <c r="C46" s="2" t="s">
        <v>278</v>
      </c>
      <c r="D46" s="18"/>
      <c r="E46" s="19"/>
      <c r="F46" s="14"/>
      <c r="H46" s="3" t="s">
        <v>827</v>
      </c>
      <c r="I46" s="9" t="s">
        <v>279</v>
      </c>
      <c r="J46" s="14"/>
      <c r="K46" t="s">
        <v>280</v>
      </c>
      <c r="L46" t="s">
        <v>804</v>
      </c>
      <c r="M46" t="s">
        <v>138</v>
      </c>
      <c r="N46" t="s">
        <v>281</v>
      </c>
      <c r="O46">
        <v>30</v>
      </c>
      <c r="P46" t="s">
        <v>282</v>
      </c>
      <c r="Q46" t="s">
        <v>283</v>
      </c>
    </row>
    <row r="47" spans="1:17" ht="15" customHeight="1" x14ac:dyDescent="0.2">
      <c r="A47" s="15"/>
      <c r="B47" s="18"/>
      <c r="C47" s="2" t="s">
        <v>318</v>
      </c>
      <c r="D47" s="18"/>
      <c r="E47" s="19"/>
      <c r="F47" s="14"/>
      <c r="G47" t="s">
        <v>777</v>
      </c>
      <c r="H47" s="2" t="s">
        <v>319</v>
      </c>
      <c r="J47" s="14"/>
      <c r="L47" t="s">
        <v>817</v>
      </c>
      <c r="M47" t="s">
        <v>398</v>
      </c>
      <c r="N47" t="s">
        <v>100</v>
      </c>
      <c r="O47">
        <v>16</v>
      </c>
      <c r="P47" t="s">
        <v>399</v>
      </c>
    </row>
    <row r="48" spans="1:17" x14ac:dyDescent="0.2">
      <c r="A48" s="15">
        <v>21</v>
      </c>
      <c r="B48" s="18" t="s">
        <v>146</v>
      </c>
      <c r="C48" s="2" t="s">
        <v>147</v>
      </c>
      <c r="D48" s="18" t="s">
        <v>384</v>
      </c>
      <c r="E48" s="19" t="s">
        <v>752</v>
      </c>
      <c r="F48" s="14" t="s">
        <v>369</v>
      </c>
      <c r="H48" s="2" t="s">
        <v>9</v>
      </c>
      <c r="I48" s="14" t="s">
        <v>182</v>
      </c>
      <c r="J48" s="14" t="s">
        <v>797</v>
      </c>
      <c r="K48" s="17" t="s">
        <v>148</v>
      </c>
      <c r="L48" t="s">
        <v>804</v>
      </c>
      <c r="M48" t="s">
        <v>138</v>
      </c>
      <c r="N48" t="s">
        <v>100</v>
      </c>
      <c r="O48">
        <v>12</v>
      </c>
      <c r="P48" t="s">
        <v>149</v>
      </c>
      <c r="Q48" t="s">
        <v>150</v>
      </c>
    </row>
    <row r="49" spans="1:17" x14ac:dyDescent="0.2">
      <c r="A49" s="15"/>
      <c r="B49" s="18"/>
      <c r="C49" s="2" t="s">
        <v>181</v>
      </c>
      <c r="D49" s="18"/>
      <c r="E49" s="19"/>
      <c r="F49" s="14"/>
      <c r="H49" s="3" t="s">
        <v>124</v>
      </c>
      <c r="I49" s="14"/>
      <c r="J49" s="14"/>
      <c r="K49" s="17"/>
      <c r="L49" s="2" t="s">
        <v>400</v>
      </c>
      <c r="M49" t="s">
        <v>138</v>
      </c>
      <c r="N49" t="s">
        <v>100</v>
      </c>
      <c r="O49">
        <v>12</v>
      </c>
      <c r="P49" t="s">
        <v>149</v>
      </c>
    </row>
    <row r="50" spans="1:17" ht="17" customHeight="1" x14ac:dyDescent="0.2">
      <c r="A50">
        <v>22</v>
      </c>
      <c r="C50" s="2" t="s">
        <v>151</v>
      </c>
      <c r="D50" s="10" t="s">
        <v>383</v>
      </c>
      <c r="E50" s="2" t="s">
        <v>761</v>
      </c>
      <c r="F50" s="9" t="s">
        <v>371</v>
      </c>
      <c r="H50" s="2" t="s">
        <v>9</v>
      </c>
      <c r="K50" t="s">
        <v>152</v>
      </c>
      <c r="L50" t="s">
        <v>804</v>
      </c>
      <c r="M50" t="s">
        <v>810</v>
      </c>
      <c r="N50" t="s">
        <v>33</v>
      </c>
      <c r="O50">
        <v>42</v>
      </c>
      <c r="P50" t="s">
        <v>153</v>
      </c>
      <c r="Q50" t="s">
        <v>154</v>
      </c>
    </row>
    <row r="51" spans="1:17" x14ac:dyDescent="0.2">
      <c r="A51">
        <v>23</v>
      </c>
      <c r="B51" s="10" t="s">
        <v>164</v>
      </c>
      <c r="C51" s="2" t="s">
        <v>163</v>
      </c>
      <c r="D51" s="10" t="s">
        <v>165</v>
      </c>
      <c r="E51" s="2" t="s">
        <v>764</v>
      </c>
      <c r="F51" s="9" t="s">
        <v>371</v>
      </c>
      <c r="H51" s="3" t="s">
        <v>378</v>
      </c>
      <c r="I51" s="9" t="s">
        <v>166</v>
      </c>
      <c r="J51" s="9" t="s">
        <v>799</v>
      </c>
      <c r="K51" t="s">
        <v>152</v>
      </c>
      <c r="L51" t="s">
        <v>9</v>
      </c>
    </row>
    <row r="52" spans="1:17" ht="18" customHeight="1" x14ac:dyDescent="0.2">
      <c r="A52">
        <v>24</v>
      </c>
      <c r="B52" s="10" t="s">
        <v>168</v>
      </c>
      <c r="C52" s="2" t="s">
        <v>167</v>
      </c>
      <c r="D52" s="10" t="s">
        <v>820</v>
      </c>
      <c r="E52" s="2" t="s">
        <v>762</v>
      </c>
      <c r="F52" s="9" t="s">
        <v>371</v>
      </c>
      <c r="H52" s="2" t="s">
        <v>9</v>
      </c>
      <c r="I52" s="9" t="s">
        <v>169</v>
      </c>
      <c r="J52" s="9" t="s">
        <v>794</v>
      </c>
      <c r="K52" t="s">
        <v>170</v>
      </c>
      <c r="L52" t="s">
        <v>804</v>
      </c>
      <c r="M52" s="3" t="s">
        <v>265</v>
      </c>
      <c r="N52" t="s">
        <v>171</v>
      </c>
      <c r="O52">
        <v>30</v>
      </c>
      <c r="P52" t="s">
        <v>106</v>
      </c>
      <c r="Q52" t="s">
        <v>172</v>
      </c>
    </row>
    <row r="53" spans="1:17" x14ac:dyDescent="0.2">
      <c r="A53">
        <v>25</v>
      </c>
      <c r="B53" s="11" t="s">
        <v>174</v>
      </c>
      <c r="C53" s="2" t="s">
        <v>173</v>
      </c>
      <c r="D53" s="10" t="s">
        <v>382</v>
      </c>
      <c r="E53" s="2" t="s">
        <v>763</v>
      </c>
      <c r="F53" s="9" t="s">
        <v>371</v>
      </c>
      <c r="H53" s="3" t="s">
        <v>175</v>
      </c>
      <c r="I53" s="9" t="s">
        <v>176</v>
      </c>
      <c r="J53" s="9" t="s">
        <v>785</v>
      </c>
      <c r="K53" t="s">
        <v>177</v>
      </c>
      <c r="L53" t="s">
        <v>804</v>
      </c>
      <c r="M53" t="s">
        <v>811</v>
      </c>
      <c r="N53" t="s">
        <v>91</v>
      </c>
      <c r="O53">
        <v>60</v>
      </c>
      <c r="P53" t="s">
        <v>401</v>
      </c>
      <c r="Q53" t="s">
        <v>178</v>
      </c>
    </row>
    <row r="54" spans="1:17" ht="17" customHeight="1" x14ac:dyDescent="0.2">
      <c r="A54">
        <v>26</v>
      </c>
      <c r="B54" s="10" t="s">
        <v>183</v>
      </c>
      <c r="C54" s="2" t="s">
        <v>184</v>
      </c>
      <c r="D54" s="10" t="s">
        <v>185</v>
      </c>
      <c r="E54" s="2" t="s">
        <v>752</v>
      </c>
      <c r="F54" s="9" t="s">
        <v>369</v>
      </c>
      <c r="H54" s="2" t="s">
        <v>9</v>
      </c>
      <c r="L54" t="s">
        <v>402</v>
      </c>
      <c r="O54">
        <v>16</v>
      </c>
      <c r="P54" t="s">
        <v>321</v>
      </c>
      <c r="Q54" t="s">
        <v>322</v>
      </c>
    </row>
    <row r="55" spans="1:17" x14ac:dyDescent="0.2">
      <c r="A55">
        <v>27</v>
      </c>
      <c r="C55" s="2" t="s">
        <v>191</v>
      </c>
      <c r="D55" s="10" t="s">
        <v>192</v>
      </c>
      <c r="E55" s="2" t="s">
        <v>764</v>
      </c>
      <c r="F55" s="9" t="s">
        <v>371</v>
      </c>
      <c r="H55" s="2" t="s">
        <v>9</v>
      </c>
      <c r="L55" t="s">
        <v>9</v>
      </c>
    </row>
    <row r="56" spans="1:17" x14ac:dyDescent="0.2">
      <c r="A56">
        <v>28</v>
      </c>
      <c r="B56" s="10" t="s">
        <v>195</v>
      </c>
      <c r="C56" s="2" t="s">
        <v>194</v>
      </c>
      <c r="D56" s="10" t="s">
        <v>806</v>
      </c>
      <c r="E56" s="2" t="s">
        <v>752</v>
      </c>
      <c r="F56" s="9" t="s">
        <v>369</v>
      </c>
      <c r="H56" s="2" t="s">
        <v>9</v>
      </c>
      <c r="K56" t="s">
        <v>196</v>
      </c>
      <c r="L56" t="s">
        <v>804</v>
      </c>
      <c r="M56" t="s">
        <v>810</v>
      </c>
      <c r="N56" t="s">
        <v>100</v>
      </c>
      <c r="O56">
        <v>47</v>
      </c>
      <c r="P56" t="s">
        <v>197</v>
      </c>
      <c r="Q56" t="s">
        <v>198</v>
      </c>
    </row>
    <row r="57" spans="1:17" ht="17" customHeight="1" x14ac:dyDescent="0.2">
      <c r="A57">
        <v>29</v>
      </c>
      <c r="B57" s="10" t="s">
        <v>204</v>
      </c>
      <c r="C57" s="2" t="s">
        <v>205</v>
      </c>
      <c r="D57" s="10" t="s">
        <v>206</v>
      </c>
      <c r="E57" s="2" t="s">
        <v>752</v>
      </c>
      <c r="F57" s="9" t="s">
        <v>369</v>
      </c>
      <c r="H57" s="2" t="s">
        <v>9</v>
      </c>
      <c r="K57" t="s">
        <v>209</v>
      </c>
      <c r="L57" t="s">
        <v>804</v>
      </c>
      <c r="M57" t="s">
        <v>810</v>
      </c>
      <c r="N57" t="s">
        <v>208</v>
      </c>
      <c r="O57">
        <v>37</v>
      </c>
      <c r="P57" t="s">
        <v>207</v>
      </c>
      <c r="Q57" t="s">
        <v>210</v>
      </c>
    </row>
    <row r="58" spans="1:17" x14ac:dyDescent="0.2">
      <c r="A58" s="15">
        <v>30</v>
      </c>
      <c r="B58" s="18" t="s">
        <v>218</v>
      </c>
      <c r="C58" s="2" t="s">
        <v>217</v>
      </c>
      <c r="D58" s="18" t="s">
        <v>219</v>
      </c>
      <c r="E58" s="19" t="s">
        <v>757</v>
      </c>
      <c r="F58" s="14" t="s">
        <v>371</v>
      </c>
      <c r="H58" s="2" t="s">
        <v>9</v>
      </c>
      <c r="I58" s="14" t="s">
        <v>220</v>
      </c>
      <c r="J58" s="14" t="s">
        <v>796</v>
      </c>
      <c r="K58" t="s">
        <v>221</v>
      </c>
      <c r="L58" t="s">
        <v>804</v>
      </c>
      <c r="M58" s="3" t="s">
        <v>113</v>
      </c>
      <c r="N58" t="s">
        <v>222</v>
      </c>
      <c r="O58">
        <v>66</v>
      </c>
      <c r="P58" t="s">
        <v>223</v>
      </c>
      <c r="Q58" t="s">
        <v>224</v>
      </c>
    </row>
    <row r="59" spans="1:17" x14ac:dyDescent="0.2">
      <c r="A59" s="15"/>
      <c r="B59" s="18"/>
      <c r="C59" s="2" t="s">
        <v>342</v>
      </c>
      <c r="D59" s="18"/>
      <c r="E59" s="19"/>
      <c r="F59" s="14"/>
      <c r="H59" s="2" t="s">
        <v>9</v>
      </c>
      <c r="I59" s="14"/>
      <c r="J59" s="14"/>
      <c r="K59" s="17" t="s">
        <v>345</v>
      </c>
      <c r="L59" t="s">
        <v>804</v>
      </c>
      <c r="M59" t="s">
        <v>810</v>
      </c>
      <c r="N59" t="s">
        <v>347</v>
      </c>
      <c r="O59">
        <v>89</v>
      </c>
      <c r="P59" t="s">
        <v>348</v>
      </c>
      <c r="Q59" t="s">
        <v>346</v>
      </c>
    </row>
    <row r="60" spans="1:17" ht="17" customHeight="1" x14ac:dyDescent="0.2">
      <c r="A60" s="15"/>
      <c r="B60" s="18"/>
      <c r="C60" s="2" t="s">
        <v>343</v>
      </c>
      <c r="D60" s="18"/>
      <c r="E60" s="19"/>
      <c r="F60" s="14"/>
      <c r="H60" s="2" t="s">
        <v>9</v>
      </c>
      <c r="I60" s="14"/>
      <c r="J60" s="14"/>
      <c r="K60" s="17"/>
      <c r="L60" t="s">
        <v>804</v>
      </c>
      <c r="M60" t="s">
        <v>810</v>
      </c>
      <c r="N60" s="3" t="s">
        <v>71</v>
      </c>
      <c r="O60">
        <v>95</v>
      </c>
      <c r="P60" t="s">
        <v>349</v>
      </c>
      <c r="Q60" t="s">
        <v>350</v>
      </c>
    </row>
    <row r="61" spans="1:17" x14ac:dyDescent="0.2">
      <c r="A61" s="15"/>
      <c r="B61" s="18"/>
      <c r="C61" s="2" t="s">
        <v>344</v>
      </c>
      <c r="D61" s="18"/>
      <c r="E61" s="19"/>
      <c r="F61" s="14"/>
      <c r="H61" s="2" t="s">
        <v>9</v>
      </c>
      <c r="I61" s="14"/>
      <c r="J61" s="14"/>
      <c r="K61" t="s">
        <v>116</v>
      </c>
      <c r="L61" t="s">
        <v>804</v>
      </c>
      <c r="M61" t="s">
        <v>811</v>
      </c>
      <c r="N61" s="3" t="s">
        <v>71</v>
      </c>
      <c r="O61">
        <v>126</v>
      </c>
      <c r="P61" t="s">
        <v>406</v>
      </c>
      <c r="Q61" t="s">
        <v>351</v>
      </c>
    </row>
    <row r="62" spans="1:17" ht="17" customHeight="1" x14ac:dyDescent="0.2">
      <c r="A62">
        <v>31</v>
      </c>
      <c r="C62" s="2" t="s">
        <v>225</v>
      </c>
      <c r="D62" s="10" t="s">
        <v>842</v>
      </c>
      <c r="E62" s="2" t="s">
        <v>752</v>
      </c>
      <c r="F62" s="9" t="s">
        <v>373</v>
      </c>
      <c r="H62" s="2" t="s">
        <v>9</v>
      </c>
      <c r="I62" s="9" t="s">
        <v>226</v>
      </c>
      <c r="J62" s="9" t="s">
        <v>801</v>
      </c>
      <c r="L62" t="s">
        <v>9</v>
      </c>
    </row>
    <row r="63" spans="1:17" x14ac:dyDescent="0.2">
      <c r="A63">
        <v>32</v>
      </c>
      <c r="B63" s="10" t="s">
        <v>232</v>
      </c>
      <c r="C63" s="2" t="s">
        <v>233</v>
      </c>
      <c r="D63" s="10" t="s">
        <v>386</v>
      </c>
      <c r="E63" s="2" t="s">
        <v>24</v>
      </c>
      <c r="F63" s="9" t="s">
        <v>370</v>
      </c>
      <c r="H63" s="3" t="s">
        <v>235</v>
      </c>
      <c r="I63" s="9" t="s">
        <v>234</v>
      </c>
      <c r="J63" s="9" t="s">
        <v>791</v>
      </c>
      <c r="K63" t="s">
        <v>196</v>
      </c>
      <c r="L63" t="s">
        <v>814</v>
      </c>
      <c r="M63" s="3" t="s">
        <v>113</v>
      </c>
      <c r="N63" t="s">
        <v>237</v>
      </c>
      <c r="O63">
        <v>24</v>
      </c>
      <c r="P63" t="s">
        <v>106</v>
      </c>
      <c r="Q63" t="s">
        <v>236</v>
      </c>
    </row>
    <row r="64" spans="1:17" ht="18" customHeight="1" x14ac:dyDescent="0.2">
      <c r="A64" s="15">
        <v>33</v>
      </c>
      <c r="B64" s="18" t="s">
        <v>289</v>
      </c>
      <c r="C64" s="2" t="s">
        <v>238</v>
      </c>
      <c r="D64" s="18" t="s">
        <v>291</v>
      </c>
      <c r="E64" s="19" t="s">
        <v>24</v>
      </c>
      <c r="F64" s="14" t="s">
        <v>370</v>
      </c>
      <c r="H64" s="2" t="s">
        <v>9</v>
      </c>
      <c r="I64" s="14" t="s">
        <v>239</v>
      </c>
      <c r="J64" s="14" t="s">
        <v>797</v>
      </c>
      <c r="K64" s="17" t="s">
        <v>292</v>
      </c>
      <c r="L64" t="s">
        <v>804</v>
      </c>
      <c r="M64" t="s">
        <v>138</v>
      </c>
      <c r="N64" s="3" t="s">
        <v>71</v>
      </c>
      <c r="O64">
        <v>43</v>
      </c>
      <c r="P64" t="s">
        <v>240</v>
      </c>
      <c r="Q64" t="s">
        <v>241</v>
      </c>
    </row>
    <row r="65" spans="1:17" x14ac:dyDescent="0.2">
      <c r="A65" s="15"/>
      <c r="B65" s="18"/>
      <c r="C65" s="2" t="s">
        <v>288</v>
      </c>
      <c r="D65" s="18"/>
      <c r="E65" s="19"/>
      <c r="F65" s="14"/>
      <c r="H65" s="2" t="s">
        <v>9</v>
      </c>
      <c r="I65" s="14"/>
      <c r="J65" s="14"/>
      <c r="K65" s="17"/>
      <c r="L65" t="s">
        <v>9</v>
      </c>
      <c r="N65" t="s">
        <v>33</v>
      </c>
      <c r="O65">
        <v>165</v>
      </c>
      <c r="P65" t="s">
        <v>290</v>
      </c>
      <c r="Q65" t="s">
        <v>293</v>
      </c>
    </row>
    <row r="66" spans="1:17" ht="17" customHeight="1" x14ac:dyDescent="0.2">
      <c r="A66">
        <v>34</v>
      </c>
      <c r="B66" s="10" t="s">
        <v>243</v>
      </c>
      <c r="C66" s="2" t="s">
        <v>242</v>
      </c>
      <c r="D66" s="10" t="s">
        <v>244</v>
      </c>
      <c r="E66" s="2" t="s">
        <v>752</v>
      </c>
      <c r="F66" s="9" t="s">
        <v>369</v>
      </c>
      <c r="H66" s="2" t="s">
        <v>9</v>
      </c>
      <c r="K66" t="s">
        <v>403</v>
      </c>
      <c r="L66" t="s">
        <v>9</v>
      </c>
    </row>
    <row r="67" spans="1:17" ht="17" customHeight="1" x14ac:dyDescent="0.2">
      <c r="A67">
        <v>35</v>
      </c>
      <c r="C67" s="2" t="s">
        <v>245</v>
      </c>
      <c r="D67" s="10" t="s">
        <v>246</v>
      </c>
      <c r="E67" s="2" t="s">
        <v>752</v>
      </c>
      <c r="F67" s="9" t="s">
        <v>369</v>
      </c>
      <c r="H67" s="2" t="s">
        <v>9</v>
      </c>
      <c r="I67" s="9" t="s">
        <v>802</v>
      </c>
      <c r="J67" s="9" t="s">
        <v>786</v>
      </c>
      <c r="K67" t="s">
        <v>248</v>
      </c>
      <c r="L67" t="s">
        <v>804</v>
      </c>
      <c r="M67" s="3" t="s">
        <v>113</v>
      </c>
      <c r="N67" t="s">
        <v>33</v>
      </c>
      <c r="O67">
        <v>342</v>
      </c>
      <c r="P67" t="s">
        <v>247</v>
      </c>
      <c r="Q67" t="s">
        <v>249</v>
      </c>
    </row>
    <row r="68" spans="1:17" x14ac:dyDescent="0.2">
      <c r="A68" s="15">
        <v>36</v>
      </c>
      <c r="B68" s="18" t="s">
        <v>250</v>
      </c>
      <c r="C68" s="2" t="s">
        <v>251</v>
      </c>
      <c r="D68" s="18" t="s">
        <v>314</v>
      </c>
      <c r="E68" s="19" t="s">
        <v>24</v>
      </c>
      <c r="F68" s="14" t="s">
        <v>373</v>
      </c>
      <c r="G68" t="s">
        <v>780</v>
      </c>
      <c r="H68" s="3" t="s">
        <v>124</v>
      </c>
      <c r="I68" s="14" t="s">
        <v>252</v>
      </c>
      <c r="J68" s="14" t="s">
        <v>791</v>
      </c>
      <c r="K68" s="17" t="s">
        <v>253</v>
      </c>
      <c r="L68" t="s">
        <v>815</v>
      </c>
      <c r="M68" t="s">
        <v>138</v>
      </c>
      <c r="N68" t="s">
        <v>254</v>
      </c>
      <c r="O68">
        <v>10</v>
      </c>
      <c r="P68" t="s">
        <v>255</v>
      </c>
      <c r="Q68" t="s">
        <v>256</v>
      </c>
    </row>
    <row r="69" spans="1:17" x14ac:dyDescent="0.2">
      <c r="A69" s="15"/>
      <c r="B69" s="18"/>
      <c r="C69" s="2" t="s">
        <v>313</v>
      </c>
      <c r="D69" s="18"/>
      <c r="E69" s="19"/>
      <c r="F69" s="14"/>
      <c r="G69" t="s">
        <v>315</v>
      </c>
      <c r="H69" s="2" t="s">
        <v>9</v>
      </c>
      <c r="I69" s="14"/>
      <c r="J69" s="14"/>
      <c r="K69" s="17"/>
      <c r="L69" t="s">
        <v>804</v>
      </c>
      <c r="M69" t="s">
        <v>138</v>
      </c>
      <c r="N69" t="s">
        <v>91</v>
      </c>
      <c r="O69">
        <v>10</v>
      </c>
      <c r="P69" t="s">
        <v>316</v>
      </c>
      <c r="Q69" t="s">
        <v>317</v>
      </c>
    </row>
    <row r="70" spans="1:17" x14ac:dyDescent="0.2">
      <c r="A70">
        <v>37</v>
      </c>
      <c r="B70" s="10" t="s">
        <v>257</v>
      </c>
      <c r="C70" s="2" t="s">
        <v>258</v>
      </c>
      <c r="D70" s="10" t="s">
        <v>387</v>
      </c>
      <c r="E70" s="2" t="s">
        <v>752</v>
      </c>
      <c r="F70" s="9" t="s">
        <v>369</v>
      </c>
      <c r="H70" s="2" t="s">
        <v>9</v>
      </c>
      <c r="L70" t="s">
        <v>9</v>
      </c>
    </row>
    <row r="71" spans="1:17" x14ac:dyDescent="0.2">
      <c r="A71" s="15">
        <v>38</v>
      </c>
      <c r="B71" s="18" t="s">
        <v>259</v>
      </c>
      <c r="C71" s="2" t="s">
        <v>374</v>
      </c>
      <c r="D71" s="18" t="s">
        <v>839</v>
      </c>
      <c r="E71" s="19" t="s">
        <v>765</v>
      </c>
      <c r="F71" s="14" t="s">
        <v>373</v>
      </c>
      <c r="H71" s="3" t="s">
        <v>379</v>
      </c>
      <c r="I71" s="14" t="s">
        <v>260</v>
      </c>
      <c r="J71" s="14" t="s">
        <v>799</v>
      </c>
      <c r="K71" s="17" t="s">
        <v>261</v>
      </c>
      <c r="L71" t="s">
        <v>9</v>
      </c>
    </row>
    <row r="72" spans="1:17" x14ac:dyDescent="0.2">
      <c r="A72" s="15"/>
      <c r="B72" s="18"/>
      <c r="C72" s="2" t="s">
        <v>268</v>
      </c>
      <c r="D72" s="18"/>
      <c r="E72" s="19"/>
      <c r="F72" s="14"/>
      <c r="H72" s="2" t="s">
        <v>9</v>
      </c>
      <c r="I72" s="14"/>
      <c r="J72" s="14"/>
      <c r="K72" s="17"/>
      <c r="L72" t="s">
        <v>9</v>
      </c>
    </row>
    <row r="73" spans="1:17" x14ac:dyDescent="0.2">
      <c r="A73">
        <v>39</v>
      </c>
      <c r="C73" s="2" t="s">
        <v>262</v>
      </c>
      <c r="D73" s="10" t="s">
        <v>841</v>
      </c>
      <c r="E73" s="2" t="s">
        <v>752</v>
      </c>
      <c r="F73" s="9" t="s">
        <v>369</v>
      </c>
      <c r="H73" s="2" t="s">
        <v>9</v>
      </c>
      <c r="I73" s="9" t="s">
        <v>267</v>
      </c>
      <c r="J73" s="9" t="s">
        <v>796</v>
      </c>
      <c r="K73" t="s">
        <v>263</v>
      </c>
      <c r="L73" t="s">
        <v>813</v>
      </c>
      <c r="M73" s="3" t="s">
        <v>265</v>
      </c>
      <c r="N73" t="s">
        <v>264</v>
      </c>
      <c r="O73">
        <v>21</v>
      </c>
      <c r="P73" t="s">
        <v>266</v>
      </c>
    </row>
    <row r="74" spans="1:17" x14ac:dyDescent="0.2">
      <c r="A74">
        <v>40</v>
      </c>
      <c r="B74" s="10" t="s">
        <v>271</v>
      </c>
      <c r="C74" s="2" t="s">
        <v>270</v>
      </c>
      <c r="D74" s="10" t="s">
        <v>272</v>
      </c>
      <c r="E74" s="2" t="s">
        <v>758</v>
      </c>
      <c r="F74" s="9" t="s">
        <v>824</v>
      </c>
      <c r="H74" s="2" t="s">
        <v>9</v>
      </c>
      <c r="I74" s="9" t="s">
        <v>269</v>
      </c>
      <c r="J74" s="9" t="s">
        <v>798</v>
      </c>
      <c r="K74" t="s">
        <v>273</v>
      </c>
      <c r="L74" t="s">
        <v>9</v>
      </c>
      <c r="O74">
        <v>41</v>
      </c>
      <c r="P74" t="s">
        <v>274</v>
      </c>
    </row>
    <row r="75" spans="1:17" x14ac:dyDescent="0.2">
      <c r="A75">
        <v>41</v>
      </c>
      <c r="B75" s="10" t="s">
        <v>275</v>
      </c>
      <c r="C75" s="2" t="s">
        <v>276</v>
      </c>
      <c r="D75" s="10" t="s">
        <v>388</v>
      </c>
      <c r="E75" s="2" t="s">
        <v>752</v>
      </c>
      <c r="F75" s="9" t="s">
        <v>369</v>
      </c>
      <c r="H75" s="3" t="s">
        <v>277</v>
      </c>
      <c r="I75" s="9" t="s">
        <v>787</v>
      </c>
      <c r="L75" t="s">
        <v>9</v>
      </c>
    </row>
    <row r="76" spans="1:17" x14ac:dyDescent="0.2">
      <c r="A76">
        <v>42</v>
      </c>
      <c r="B76" s="10" t="s">
        <v>284</v>
      </c>
      <c r="C76" s="2" t="s">
        <v>367</v>
      </c>
      <c r="D76" s="10" t="s">
        <v>285</v>
      </c>
      <c r="E76" s="2" t="s">
        <v>754</v>
      </c>
      <c r="F76" s="9" t="s">
        <v>371</v>
      </c>
      <c r="G76" t="s">
        <v>781</v>
      </c>
      <c r="H76" s="2" t="s">
        <v>9</v>
      </c>
      <c r="K76" t="s">
        <v>286</v>
      </c>
      <c r="L76" t="s">
        <v>9</v>
      </c>
      <c r="N76" t="s">
        <v>91</v>
      </c>
      <c r="Q76" t="s">
        <v>287</v>
      </c>
    </row>
    <row r="77" spans="1:17" x14ac:dyDescent="0.2">
      <c r="A77">
        <v>43</v>
      </c>
      <c r="C77" s="2" t="s">
        <v>295</v>
      </c>
      <c r="D77" s="10" t="s">
        <v>294</v>
      </c>
      <c r="E77" s="2" t="s">
        <v>754</v>
      </c>
      <c r="F77" s="9" t="s">
        <v>371</v>
      </c>
      <c r="H77" s="2" t="s">
        <v>9</v>
      </c>
      <c r="L77" t="s">
        <v>9</v>
      </c>
    </row>
    <row r="78" spans="1:17" ht="17" customHeight="1" x14ac:dyDescent="0.2">
      <c r="A78">
        <v>44</v>
      </c>
      <c r="C78" s="2" t="s">
        <v>296</v>
      </c>
      <c r="D78" s="10" t="s">
        <v>840</v>
      </c>
      <c r="E78" s="3" t="s">
        <v>759</v>
      </c>
      <c r="F78" s="9" t="s">
        <v>371</v>
      </c>
      <c r="H78" s="2" t="s">
        <v>9</v>
      </c>
      <c r="I78" s="9" t="s">
        <v>298</v>
      </c>
      <c r="J78" s="9" t="s">
        <v>794</v>
      </c>
      <c r="K78" t="s">
        <v>299</v>
      </c>
      <c r="L78" t="s">
        <v>804</v>
      </c>
      <c r="M78" s="3" t="s">
        <v>265</v>
      </c>
      <c r="N78" t="s">
        <v>91</v>
      </c>
      <c r="O78">
        <v>31</v>
      </c>
      <c r="P78" t="s">
        <v>297</v>
      </c>
      <c r="Q78" t="s">
        <v>300</v>
      </c>
    </row>
    <row r="79" spans="1:17" x14ac:dyDescent="0.2">
      <c r="A79">
        <v>45</v>
      </c>
      <c r="C79" s="2" t="s">
        <v>301</v>
      </c>
      <c r="D79" s="10" t="s">
        <v>302</v>
      </c>
      <c r="E79" s="2" t="s">
        <v>754</v>
      </c>
      <c r="F79" s="9" t="s">
        <v>373</v>
      </c>
      <c r="H79" s="2" t="s">
        <v>9</v>
      </c>
      <c r="K79" t="s">
        <v>303</v>
      </c>
      <c r="L79" t="s">
        <v>804</v>
      </c>
      <c r="M79" s="3" t="s">
        <v>265</v>
      </c>
      <c r="N79" t="s">
        <v>100</v>
      </c>
      <c r="O79">
        <v>20</v>
      </c>
      <c r="P79" t="s">
        <v>304</v>
      </c>
      <c r="Q79" t="s">
        <v>305</v>
      </c>
    </row>
    <row r="80" spans="1:17" ht="17" customHeight="1" x14ac:dyDescent="0.2">
      <c r="A80">
        <v>46</v>
      </c>
      <c r="B80" s="10" t="s">
        <v>306</v>
      </c>
      <c r="C80" s="2" t="s">
        <v>307</v>
      </c>
      <c r="D80" s="10" t="s">
        <v>308</v>
      </c>
      <c r="E80" s="2" t="s">
        <v>752</v>
      </c>
      <c r="F80" s="9" t="s">
        <v>369</v>
      </c>
      <c r="H80" s="3" t="s">
        <v>380</v>
      </c>
      <c r="I80" s="9" t="s">
        <v>310</v>
      </c>
      <c r="J80" s="9" t="s">
        <v>800</v>
      </c>
      <c r="K80" t="s">
        <v>309</v>
      </c>
      <c r="L80" t="s">
        <v>804</v>
      </c>
      <c r="M80" s="3" t="s">
        <v>265</v>
      </c>
      <c r="N80" t="s">
        <v>100</v>
      </c>
      <c r="O80">
        <v>11</v>
      </c>
      <c r="P80" t="s">
        <v>311</v>
      </c>
      <c r="Q80" t="s">
        <v>312</v>
      </c>
    </row>
    <row r="81" spans="1:17" x14ac:dyDescent="0.2">
      <c r="A81">
        <v>47</v>
      </c>
      <c r="B81" s="10" t="s">
        <v>323</v>
      </c>
      <c r="C81" s="2" t="s">
        <v>324</v>
      </c>
      <c r="D81" s="10" t="s">
        <v>325</v>
      </c>
      <c r="E81" s="2" t="s">
        <v>766</v>
      </c>
      <c r="F81" s="9" t="s">
        <v>371</v>
      </c>
      <c r="G81" t="s">
        <v>782</v>
      </c>
      <c r="H81" s="3" t="s">
        <v>124</v>
      </c>
      <c r="I81" s="9" t="s">
        <v>327</v>
      </c>
      <c r="J81" s="9" t="s">
        <v>803</v>
      </c>
      <c r="K81" t="s">
        <v>326</v>
      </c>
      <c r="L81" t="s">
        <v>804</v>
      </c>
      <c r="M81" s="3" t="s">
        <v>265</v>
      </c>
      <c r="N81" t="s">
        <v>100</v>
      </c>
      <c r="O81">
        <v>10</v>
      </c>
      <c r="P81" t="s">
        <v>328</v>
      </c>
      <c r="Q81" t="s">
        <v>329</v>
      </c>
    </row>
    <row r="82" spans="1:17" x14ac:dyDescent="0.2">
      <c r="A82">
        <v>48</v>
      </c>
      <c r="B82" s="10" t="s">
        <v>334</v>
      </c>
      <c r="C82" s="2" t="s">
        <v>335</v>
      </c>
      <c r="D82" s="10" t="s">
        <v>336</v>
      </c>
      <c r="E82" s="2" t="s">
        <v>756</v>
      </c>
      <c r="F82" s="9" t="s">
        <v>373</v>
      </c>
      <c r="H82" s="2" t="s">
        <v>9</v>
      </c>
      <c r="I82" s="9" t="s">
        <v>338</v>
      </c>
      <c r="J82" s="9" t="s">
        <v>800</v>
      </c>
      <c r="K82" t="s">
        <v>337</v>
      </c>
      <c r="L82" t="s">
        <v>804</v>
      </c>
      <c r="M82" t="s">
        <v>812</v>
      </c>
      <c r="N82" s="3" t="s">
        <v>339</v>
      </c>
      <c r="O82">
        <v>240</v>
      </c>
      <c r="P82" t="s">
        <v>340</v>
      </c>
      <c r="Q82" t="s">
        <v>341</v>
      </c>
    </row>
    <row r="83" spans="1:17" x14ac:dyDescent="0.2">
      <c r="A83">
        <v>49</v>
      </c>
      <c r="B83" s="10" t="s">
        <v>357</v>
      </c>
      <c r="C83" s="2" t="s">
        <v>358</v>
      </c>
      <c r="D83" s="10" t="s">
        <v>359</v>
      </c>
      <c r="E83" s="2" t="s">
        <v>24</v>
      </c>
      <c r="F83" s="9" t="s">
        <v>373</v>
      </c>
      <c r="H83" s="2" t="s">
        <v>9</v>
      </c>
      <c r="I83" s="9" t="s">
        <v>361</v>
      </c>
      <c r="J83" s="9" t="s">
        <v>792</v>
      </c>
      <c r="K83" t="s">
        <v>360</v>
      </c>
      <c r="L83" t="s">
        <v>804</v>
      </c>
      <c r="M83" s="3" t="s">
        <v>265</v>
      </c>
      <c r="N83" s="3" t="s">
        <v>320</v>
      </c>
      <c r="O83">
        <v>75</v>
      </c>
      <c r="P83" t="s">
        <v>362</v>
      </c>
      <c r="Q83" t="s">
        <v>363</v>
      </c>
    </row>
    <row r="85" spans="1:17" x14ac:dyDescent="0.2">
      <c r="B85" s="10" t="s">
        <v>772</v>
      </c>
      <c r="E85" s="2" t="s">
        <v>767</v>
      </c>
      <c r="F85" s="9" t="s">
        <v>822</v>
      </c>
      <c r="G85" t="s">
        <v>783</v>
      </c>
      <c r="H85" s="2" t="s">
        <v>831</v>
      </c>
      <c r="J85" s="9" t="s">
        <v>833</v>
      </c>
      <c r="L85" t="s">
        <v>807</v>
      </c>
      <c r="M85" s="2" t="s">
        <v>845</v>
      </c>
    </row>
    <row r="86" spans="1:17" x14ac:dyDescent="0.2">
      <c r="B86" s="10" t="s">
        <v>773</v>
      </c>
      <c r="E86" s="2" t="s">
        <v>769</v>
      </c>
      <c r="F86" s="9" t="s">
        <v>818</v>
      </c>
      <c r="H86" s="2" t="s">
        <v>832</v>
      </c>
      <c r="J86" s="9" t="s">
        <v>834</v>
      </c>
      <c r="L86" t="s">
        <v>808</v>
      </c>
      <c r="M86" s="2" t="s">
        <v>846</v>
      </c>
    </row>
    <row r="87" spans="1:17" x14ac:dyDescent="0.2">
      <c r="E87" s="2" t="s">
        <v>768</v>
      </c>
      <c r="F87" s="9" t="s">
        <v>821</v>
      </c>
      <c r="J87" s="9" t="s">
        <v>835</v>
      </c>
    </row>
    <row r="88" spans="1:17" x14ac:dyDescent="0.2">
      <c r="E88" s="2" t="s">
        <v>770</v>
      </c>
      <c r="F88" s="9" t="s">
        <v>819</v>
      </c>
      <c r="J88" s="9" t="s">
        <v>836</v>
      </c>
      <c r="M88" t="s">
        <v>847</v>
      </c>
    </row>
    <row r="89" spans="1:17" x14ac:dyDescent="0.2">
      <c r="F89" s="9" t="s">
        <v>771</v>
      </c>
      <c r="J89" s="9" t="s">
        <v>837</v>
      </c>
    </row>
    <row r="90" spans="1:17" x14ac:dyDescent="0.2">
      <c r="J90" s="9" t="s">
        <v>838</v>
      </c>
    </row>
  </sheetData>
  <autoFilter ref="A1:Q1" xr:uid="{72D1D490-9CB8-8442-8A53-346B4F90514E}">
    <filterColumn colId="0" showButton="0"/>
    <filterColumn colId="1" showButton="0"/>
    <filterColumn colId="2" showButton="0"/>
    <filterColumn colId="5" showButton="0"/>
    <filterColumn colId="12" showButton="0"/>
    <filterColumn colId="13" showButton="0"/>
    <filterColumn colId="14" showButton="0"/>
  </autoFilter>
  <mergeCells count="123">
    <mergeCell ref="E14:E19"/>
    <mergeCell ref="F14:F19"/>
    <mergeCell ref="I14:I19"/>
    <mergeCell ref="I48:I49"/>
    <mergeCell ref="K48:K49"/>
    <mergeCell ref="I42:I44"/>
    <mergeCell ref="K42:K44"/>
    <mergeCell ref="F8:F9"/>
    <mergeCell ref="B10:B11"/>
    <mergeCell ref="D10:D11"/>
    <mergeCell ref="J35:J38"/>
    <mergeCell ref="J40:J41"/>
    <mergeCell ref="J48:J49"/>
    <mergeCell ref="B26:B28"/>
    <mergeCell ref="A48:A49"/>
    <mergeCell ref="A20:A22"/>
    <mergeCell ref="B20:B22"/>
    <mergeCell ref="A14:A19"/>
    <mergeCell ref="A58:A61"/>
    <mergeCell ref="B58:B61"/>
    <mergeCell ref="D58:D61"/>
    <mergeCell ref="E58:E61"/>
    <mergeCell ref="F58:F61"/>
    <mergeCell ref="D20:D22"/>
    <mergeCell ref="B48:B49"/>
    <mergeCell ref="D48:D49"/>
    <mergeCell ref="E48:E49"/>
    <mergeCell ref="F48:F49"/>
    <mergeCell ref="A40:A41"/>
    <mergeCell ref="B40:B41"/>
    <mergeCell ref="D40:D41"/>
    <mergeCell ref="E40:E41"/>
    <mergeCell ref="F40:F41"/>
    <mergeCell ref="D14:D19"/>
    <mergeCell ref="E20:E22"/>
    <mergeCell ref="F20:F22"/>
    <mergeCell ref="F31:F32"/>
    <mergeCell ref="B14:B19"/>
    <mergeCell ref="A42:A47"/>
    <mergeCell ref="B42:B47"/>
    <mergeCell ref="D42:D47"/>
    <mergeCell ref="E42:E47"/>
    <mergeCell ref="F42:F47"/>
    <mergeCell ref="I40:I41"/>
    <mergeCell ref="K40:K41"/>
    <mergeCell ref="B35:B38"/>
    <mergeCell ref="D35:D38"/>
    <mergeCell ref="E35:E38"/>
    <mergeCell ref="A26:A28"/>
    <mergeCell ref="D26:D28"/>
    <mergeCell ref="E26:E28"/>
    <mergeCell ref="F26:F28"/>
    <mergeCell ref="K35:K38"/>
    <mergeCell ref="F35:F38"/>
    <mergeCell ref="I35:I38"/>
    <mergeCell ref="A35:A38"/>
    <mergeCell ref="A31:A32"/>
    <mergeCell ref="D31:D32"/>
    <mergeCell ref="E31:E32"/>
    <mergeCell ref="A1:D1"/>
    <mergeCell ref="F1:G1"/>
    <mergeCell ref="K6:K7"/>
    <mergeCell ref="B6:B7"/>
    <mergeCell ref="D6:D7"/>
    <mergeCell ref="E6:E7"/>
    <mergeCell ref="A8:A9"/>
    <mergeCell ref="B8:B9"/>
    <mergeCell ref="D8:D9"/>
    <mergeCell ref="E8:E9"/>
    <mergeCell ref="E3:E5"/>
    <mergeCell ref="A12:A13"/>
    <mergeCell ref="B12:B13"/>
    <mergeCell ref="D12:D13"/>
    <mergeCell ref="E12:E13"/>
    <mergeCell ref="F12:F13"/>
    <mergeCell ref="A3:A5"/>
    <mergeCell ref="I6:I7"/>
    <mergeCell ref="A10:A11"/>
    <mergeCell ref="A6:A7"/>
    <mergeCell ref="E10:E11"/>
    <mergeCell ref="F10:F11"/>
    <mergeCell ref="F6:F7"/>
    <mergeCell ref="F3:F5"/>
    <mergeCell ref="A71:A72"/>
    <mergeCell ref="B71:B72"/>
    <mergeCell ref="D71:D72"/>
    <mergeCell ref="E71:E72"/>
    <mergeCell ref="F71:F72"/>
    <mergeCell ref="I71:I72"/>
    <mergeCell ref="K71:K72"/>
    <mergeCell ref="A64:A65"/>
    <mergeCell ref="B64:B65"/>
    <mergeCell ref="D64:D65"/>
    <mergeCell ref="E64:E65"/>
    <mergeCell ref="F64:F65"/>
    <mergeCell ref="I64:I65"/>
    <mergeCell ref="K64:K65"/>
    <mergeCell ref="I68:I69"/>
    <mergeCell ref="K68:K69"/>
    <mergeCell ref="A68:A69"/>
    <mergeCell ref="B68:B69"/>
    <mergeCell ref="D68:D69"/>
    <mergeCell ref="E68:E69"/>
    <mergeCell ref="F68:F69"/>
    <mergeCell ref="J58:J61"/>
    <mergeCell ref="J64:J65"/>
    <mergeCell ref="J68:J69"/>
    <mergeCell ref="J71:J72"/>
    <mergeCell ref="O2:P2"/>
    <mergeCell ref="I1:J1"/>
    <mergeCell ref="J6:J7"/>
    <mergeCell ref="J14:J19"/>
    <mergeCell ref="I20:I22"/>
    <mergeCell ref="I12:I13"/>
    <mergeCell ref="J12:J13"/>
    <mergeCell ref="J20:J22"/>
    <mergeCell ref="M1:P1"/>
    <mergeCell ref="I58:I61"/>
    <mergeCell ref="K59:K60"/>
    <mergeCell ref="K14:K19"/>
    <mergeCell ref="I31:I32"/>
    <mergeCell ref="J31:J32"/>
    <mergeCell ref="J42:J47"/>
  </mergeCells>
  <hyperlinks>
    <hyperlink ref="B53" r:id="rId1" xr:uid="{310D2188-F2BE-1A47-98F4-5A1887782B8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1EA1-19B5-8349-BC6E-2C632C141B2F}">
  <dimension ref="A1:N57"/>
  <sheetViews>
    <sheetView topLeftCell="A28" zoomScale="150" workbookViewId="0">
      <selection activeCell="I20" sqref="I20"/>
    </sheetView>
  </sheetViews>
  <sheetFormatPr baseColWidth="10" defaultRowHeight="16" x14ac:dyDescent="0.2"/>
  <cols>
    <col min="1" max="1" width="10.83203125" style="5"/>
    <col min="2" max="2" width="12.6640625" style="5" customWidth="1"/>
    <col min="3" max="16384" width="10.83203125" style="5"/>
  </cols>
  <sheetData>
    <row r="1" spans="1:14" ht="17" x14ac:dyDescent="0.2">
      <c r="A1" s="21" t="s">
        <v>419</v>
      </c>
      <c r="B1" s="21" t="s">
        <v>657</v>
      </c>
      <c r="C1" s="21" t="s">
        <v>407</v>
      </c>
      <c r="D1" s="21" t="s">
        <v>408</v>
      </c>
      <c r="E1" s="21"/>
      <c r="F1" s="21"/>
      <c r="G1" s="21" t="s">
        <v>409</v>
      </c>
      <c r="H1" s="21"/>
      <c r="I1" s="21"/>
      <c r="J1" s="21" t="s">
        <v>415</v>
      </c>
      <c r="K1" s="21"/>
      <c r="L1" s="21"/>
      <c r="M1" s="4" t="s">
        <v>449</v>
      </c>
      <c r="N1" s="4"/>
    </row>
    <row r="2" spans="1:14" ht="34" x14ac:dyDescent="0.2">
      <c r="A2" s="21"/>
      <c r="B2" s="21"/>
      <c r="C2" s="21"/>
      <c r="D2" s="4" t="s">
        <v>410</v>
      </c>
      <c r="E2" s="4" t="s">
        <v>411</v>
      </c>
      <c r="F2" s="4" t="s">
        <v>412</v>
      </c>
      <c r="G2" s="4" t="s">
        <v>410</v>
      </c>
      <c r="H2" s="4" t="s">
        <v>411</v>
      </c>
      <c r="I2" s="4" t="s">
        <v>412</v>
      </c>
      <c r="J2" s="4" t="s">
        <v>410</v>
      </c>
      <c r="K2" s="4" t="s">
        <v>411</v>
      </c>
      <c r="L2" s="4" t="s">
        <v>412</v>
      </c>
      <c r="M2" s="4"/>
      <c r="N2" s="4"/>
    </row>
    <row r="3" spans="1:14" ht="17" x14ac:dyDescent="0.2">
      <c r="A3" s="4">
        <v>1</v>
      </c>
      <c r="B3" s="4" t="s">
        <v>413</v>
      </c>
      <c r="C3" s="4">
        <v>2004</v>
      </c>
      <c r="D3" s="4"/>
      <c r="E3" s="4"/>
      <c r="F3" s="4"/>
      <c r="G3" s="4"/>
      <c r="H3" s="4"/>
      <c r="I3" s="4"/>
      <c r="J3" s="4" t="s">
        <v>458</v>
      </c>
      <c r="K3" s="4" t="s">
        <v>414</v>
      </c>
      <c r="L3" s="4"/>
      <c r="M3" s="4"/>
      <c r="N3" s="4"/>
    </row>
    <row r="4" spans="1:14" ht="17" x14ac:dyDescent="0.2">
      <c r="A4" s="4">
        <v>1</v>
      </c>
      <c r="B4" s="4" t="s">
        <v>413</v>
      </c>
      <c r="C4" s="4">
        <v>2008</v>
      </c>
      <c r="D4" s="4"/>
      <c r="E4" s="4"/>
      <c r="F4" s="4"/>
      <c r="G4" s="4"/>
      <c r="H4" s="4"/>
      <c r="I4" s="4"/>
      <c r="J4" s="4" t="s">
        <v>459</v>
      </c>
      <c r="K4" s="4" t="s">
        <v>416</v>
      </c>
      <c r="L4" s="4" t="s">
        <v>417</v>
      </c>
      <c r="M4" s="4"/>
      <c r="N4" s="4"/>
    </row>
    <row r="5" spans="1:14" ht="34" x14ac:dyDescent="0.2">
      <c r="A5" s="4">
        <v>1</v>
      </c>
      <c r="B5" s="4" t="s">
        <v>418</v>
      </c>
      <c r="C5" s="4">
        <v>2009</v>
      </c>
      <c r="D5" s="4"/>
      <c r="E5" s="4"/>
      <c r="F5" s="4"/>
      <c r="G5" s="4"/>
      <c r="H5" s="4"/>
      <c r="I5" s="4"/>
      <c r="J5" s="4" t="s">
        <v>459</v>
      </c>
      <c r="K5" s="4"/>
      <c r="L5" s="4"/>
      <c r="M5" s="4"/>
      <c r="N5" s="4"/>
    </row>
    <row r="6" spans="1:14" ht="17" x14ac:dyDescent="0.2">
      <c r="A6" s="4">
        <v>2</v>
      </c>
      <c r="B6" s="4" t="s">
        <v>420</v>
      </c>
      <c r="C6" s="4">
        <v>2017</v>
      </c>
      <c r="D6" s="4" t="s">
        <v>423</v>
      </c>
      <c r="E6" s="4" t="s">
        <v>421</v>
      </c>
      <c r="F6" s="4" t="s">
        <v>422</v>
      </c>
      <c r="G6" s="4" t="s">
        <v>424</v>
      </c>
      <c r="H6" s="4" t="s">
        <v>421</v>
      </c>
      <c r="I6" s="4" t="s">
        <v>425</v>
      </c>
      <c r="J6" s="4"/>
      <c r="K6" s="4"/>
      <c r="L6" s="4"/>
      <c r="M6" s="4"/>
      <c r="N6" s="4"/>
    </row>
    <row r="7" spans="1:14" ht="17" x14ac:dyDescent="0.2">
      <c r="A7" s="4">
        <v>3</v>
      </c>
      <c r="B7" s="4" t="s">
        <v>426</v>
      </c>
      <c r="C7" s="4">
        <v>2021</v>
      </c>
      <c r="D7" s="4" t="s">
        <v>428</v>
      </c>
      <c r="E7" s="4" t="s">
        <v>427</v>
      </c>
      <c r="F7" s="4" t="s">
        <v>431</v>
      </c>
      <c r="G7" s="4" t="s">
        <v>428</v>
      </c>
      <c r="H7" s="4" t="s">
        <v>430</v>
      </c>
      <c r="I7" s="4" t="s">
        <v>429</v>
      </c>
      <c r="J7" s="4"/>
      <c r="K7" s="4"/>
      <c r="L7" s="4"/>
      <c r="M7" s="4"/>
      <c r="N7" s="4"/>
    </row>
    <row r="8" spans="1:14" ht="34" x14ac:dyDescent="0.2">
      <c r="A8" s="4">
        <v>4</v>
      </c>
      <c r="B8" s="4" t="s">
        <v>432</v>
      </c>
      <c r="C8" s="4">
        <v>2012</v>
      </c>
      <c r="D8" s="4"/>
      <c r="E8" s="4"/>
      <c r="F8" s="4"/>
      <c r="G8" s="4"/>
      <c r="H8" s="4"/>
      <c r="I8" s="4"/>
      <c r="J8" s="4" t="s">
        <v>433</v>
      </c>
      <c r="K8" s="4"/>
      <c r="L8" s="4"/>
      <c r="M8" s="4"/>
      <c r="N8" s="4"/>
    </row>
    <row r="9" spans="1:14" ht="17" x14ac:dyDescent="0.2">
      <c r="A9" s="4">
        <v>4</v>
      </c>
      <c r="B9" s="4" t="s">
        <v>434</v>
      </c>
      <c r="C9" s="4">
        <v>2014</v>
      </c>
      <c r="D9" s="4" t="s">
        <v>437</v>
      </c>
      <c r="E9" s="4" t="s">
        <v>435</v>
      </c>
      <c r="F9" s="4" t="s">
        <v>438</v>
      </c>
      <c r="G9" s="4" t="s">
        <v>440</v>
      </c>
      <c r="H9" s="4" t="s">
        <v>436</v>
      </c>
      <c r="I9" s="4" t="s">
        <v>439</v>
      </c>
      <c r="J9" s="4"/>
      <c r="K9" s="4"/>
      <c r="L9" s="4"/>
      <c r="M9" s="4"/>
      <c r="N9" s="4"/>
    </row>
    <row r="10" spans="1:14" ht="17" x14ac:dyDescent="0.2">
      <c r="A10" s="4">
        <v>6</v>
      </c>
      <c r="B10" s="4" t="s">
        <v>441</v>
      </c>
      <c r="C10" s="4">
        <v>2017</v>
      </c>
      <c r="D10" s="4"/>
      <c r="E10" s="4"/>
      <c r="F10" s="4"/>
      <c r="G10" s="4"/>
      <c r="H10" s="4"/>
      <c r="I10" s="4"/>
      <c r="J10" s="4" t="s">
        <v>443</v>
      </c>
      <c r="K10" s="4" t="s">
        <v>442</v>
      </c>
      <c r="L10" s="4" t="s">
        <v>444</v>
      </c>
      <c r="M10" s="4"/>
      <c r="N10" s="4"/>
    </row>
    <row r="11" spans="1:14" ht="17" x14ac:dyDescent="0.2">
      <c r="A11" s="4">
        <v>6</v>
      </c>
      <c r="B11" s="4" t="s">
        <v>441</v>
      </c>
      <c r="C11" s="4">
        <v>2021</v>
      </c>
      <c r="D11" s="4" t="s">
        <v>447</v>
      </c>
      <c r="E11" s="4" t="s">
        <v>446</v>
      </c>
      <c r="F11" s="4" t="s">
        <v>448</v>
      </c>
      <c r="G11" s="4" t="s">
        <v>447</v>
      </c>
      <c r="H11" s="4" t="s">
        <v>451</v>
      </c>
      <c r="I11" s="4" t="s">
        <v>452</v>
      </c>
      <c r="J11" s="4"/>
      <c r="K11" s="4"/>
      <c r="L11" s="4"/>
      <c r="M11" s="4" t="s">
        <v>450</v>
      </c>
      <c r="N11" s="4"/>
    </row>
    <row r="12" spans="1:14" ht="17" x14ac:dyDescent="0.2">
      <c r="A12" s="4"/>
      <c r="B12" s="4"/>
      <c r="C12" s="4"/>
      <c r="D12" s="4"/>
      <c r="E12" s="4"/>
      <c r="F12" s="4"/>
      <c r="G12" s="4" t="s">
        <v>455</v>
      </c>
      <c r="H12" s="4" t="s">
        <v>454</v>
      </c>
      <c r="I12" s="4" t="s">
        <v>456</v>
      </c>
      <c r="J12" s="4"/>
      <c r="K12" s="4"/>
      <c r="L12" s="4"/>
      <c r="M12" s="4" t="s">
        <v>453</v>
      </c>
      <c r="N12" s="4"/>
    </row>
    <row r="13" spans="1:14" ht="17" x14ac:dyDescent="0.2">
      <c r="A13" s="4">
        <v>6</v>
      </c>
      <c r="B13" s="4" t="s">
        <v>457</v>
      </c>
      <c r="C13" s="4">
        <v>2020</v>
      </c>
      <c r="D13" s="4" t="s">
        <v>460</v>
      </c>
      <c r="E13" s="4" t="s">
        <v>464</v>
      </c>
      <c r="F13" s="4" t="s">
        <v>465</v>
      </c>
      <c r="G13" s="4" t="s">
        <v>461</v>
      </c>
      <c r="H13" s="4" t="s">
        <v>462</v>
      </c>
      <c r="I13" s="4" t="s">
        <v>463</v>
      </c>
      <c r="J13" s="4"/>
      <c r="K13" s="4"/>
      <c r="L13" s="4"/>
      <c r="M13" s="4" t="s">
        <v>450</v>
      </c>
      <c r="N13" s="4"/>
    </row>
    <row r="14" spans="1:14" ht="34" x14ac:dyDescent="0.2">
      <c r="A14" s="4">
        <v>7</v>
      </c>
      <c r="B14" s="4" t="s">
        <v>466</v>
      </c>
      <c r="C14" s="4">
        <v>2021</v>
      </c>
      <c r="D14" s="4" t="s">
        <v>467</v>
      </c>
      <c r="E14" s="4" t="s">
        <v>468</v>
      </c>
      <c r="F14" s="4" t="s">
        <v>469</v>
      </c>
      <c r="G14" s="4" t="s">
        <v>470</v>
      </c>
      <c r="H14" s="4" t="s">
        <v>471</v>
      </c>
      <c r="I14" s="4" t="s">
        <v>472</v>
      </c>
      <c r="J14" s="4"/>
      <c r="K14" s="4"/>
      <c r="L14" s="4"/>
      <c r="M14" s="4"/>
      <c r="N14" s="4"/>
    </row>
    <row r="15" spans="1:14" ht="51" x14ac:dyDescent="0.2">
      <c r="A15" s="4">
        <v>8</v>
      </c>
      <c r="B15" s="4" t="s">
        <v>473</v>
      </c>
      <c r="C15" s="4">
        <v>2015</v>
      </c>
      <c r="D15" s="4"/>
      <c r="E15" s="4"/>
      <c r="F15" s="4"/>
      <c r="G15" s="4" t="s">
        <v>474</v>
      </c>
      <c r="H15" s="4" t="s">
        <v>475</v>
      </c>
      <c r="I15" s="4" t="s">
        <v>476</v>
      </c>
      <c r="J15" s="4"/>
      <c r="K15" s="4"/>
      <c r="L15" s="4"/>
      <c r="M15" s="4" t="s">
        <v>477</v>
      </c>
      <c r="N15" s="4"/>
    </row>
    <row r="16" spans="1:14" ht="17" x14ac:dyDescent="0.2">
      <c r="A16" s="4">
        <v>9</v>
      </c>
      <c r="B16" s="4" t="s">
        <v>478</v>
      </c>
      <c r="C16" s="4">
        <v>2015</v>
      </c>
      <c r="D16" s="4" t="s">
        <v>483</v>
      </c>
      <c r="E16" s="4" t="s">
        <v>485</v>
      </c>
      <c r="F16" s="4" t="s">
        <v>484</v>
      </c>
      <c r="G16" s="4" t="s">
        <v>482</v>
      </c>
      <c r="H16" s="4" t="s">
        <v>479</v>
      </c>
      <c r="I16" s="4" t="s">
        <v>484</v>
      </c>
      <c r="J16" s="4" t="s">
        <v>481</v>
      </c>
      <c r="K16" s="4" t="s">
        <v>480</v>
      </c>
      <c r="L16" s="4" t="s">
        <v>484</v>
      </c>
      <c r="M16" s="4"/>
      <c r="N16" s="4"/>
    </row>
    <row r="17" spans="1:14" ht="34" x14ac:dyDescent="0.2">
      <c r="A17" s="4">
        <v>10</v>
      </c>
      <c r="B17" s="4" t="s">
        <v>486</v>
      </c>
      <c r="C17" s="4">
        <v>2015</v>
      </c>
      <c r="D17" s="4" t="s">
        <v>490</v>
      </c>
      <c r="E17" s="4" t="s">
        <v>487</v>
      </c>
      <c r="F17" s="4" t="s">
        <v>488</v>
      </c>
      <c r="G17" s="4" t="s">
        <v>491</v>
      </c>
      <c r="H17" s="4" t="s">
        <v>492</v>
      </c>
      <c r="I17" s="4" t="s">
        <v>489</v>
      </c>
      <c r="J17" s="4"/>
      <c r="K17" s="4"/>
      <c r="L17" s="4"/>
      <c r="M17" s="4" t="s">
        <v>450</v>
      </c>
      <c r="N17" s="4"/>
    </row>
    <row r="18" spans="1:14" ht="17" x14ac:dyDescent="0.2">
      <c r="A18" s="4">
        <v>11</v>
      </c>
      <c r="B18" s="4" t="s">
        <v>495</v>
      </c>
      <c r="C18" s="4">
        <v>2016</v>
      </c>
      <c r="D18" s="4"/>
      <c r="E18" s="4"/>
      <c r="F18" s="4"/>
      <c r="G18" s="4"/>
      <c r="H18" s="4"/>
      <c r="I18" s="4"/>
      <c r="J18" s="4" t="s">
        <v>493</v>
      </c>
      <c r="K18" s="4" t="s">
        <v>494</v>
      </c>
      <c r="L18" s="4" t="s">
        <v>484</v>
      </c>
      <c r="M18" s="4"/>
      <c r="N18" s="4"/>
    </row>
    <row r="19" spans="1:14" ht="17" x14ac:dyDescent="0.2">
      <c r="A19" s="4">
        <v>13</v>
      </c>
      <c r="B19" s="4" t="s">
        <v>496</v>
      </c>
      <c r="C19" s="4">
        <v>2016</v>
      </c>
      <c r="D19" s="4"/>
      <c r="E19" s="4"/>
      <c r="F19" s="4"/>
      <c r="G19" s="4"/>
      <c r="H19" s="4"/>
      <c r="I19" s="4"/>
      <c r="J19" s="4" t="s">
        <v>497</v>
      </c>
      <c r="K19" s="4" t="s">
        <v>498</v>
      </c>
      <c r="L19" s="4" t="s">
        <v>499</v>
      </c>
      <c r="M19" s="4"/>
      <c r="N19" s="4"/>
    </row>
    <row r="20" spans="1:14" ht="34" x14ac:dyDescent="0.2">
      <c r="A20" s="4">
        <v>14</v>
      </c>
      <c r="B20" s="4" t="s">
        <v>500</v>
      </c>
      <c r="C20" s="4">
        <v>2016</v>
      </c>
      <c r="D20" s="4">
        <v>18</v>
      </c>
      <c r="E20" s="4" t="s">
        <v>501</v>
      </c>
      <c r="F20" s="4" t="s">
        <v>484</v>
      </c>
      <c r="G20" s="4">
        <v>16</v>
      </c>
      <c r="H20" s="4" t="s">
        <v>503</v>
      </c>
      <c r="I20" s="4" t="s">
        <v>484</v>
      </c>
      <c r="J20" s="4"/>
      <c r="K20" s="4"/>
      <c r="L20" s="4"/>
      <c r="M20" s="4" t="s">
        <v>502</v>
      </c>
      <c r="N20" s="4"/>
    </row>
    <row r="21" spans="1:14" ht="34" x14ac:dyDescent="0.2">
      <c r="A21" s="4">
        <v>14</v>
      </c>
      <c r="B21" s="4" t="s">
        <v>500</v>
      </c>
      <c r="C21" s="4">
        <v>2020</v>
      </c>
      <c r="D21" s="4"/>
      <c r="E21" s="4"/>
      <c r="F21" s="4"/>
      <c r="G21" s="4"/>
      <c r="H21" s="4"/>
      <c r="I21" s="4"/>
      <c r="J21" s="4">
        <v>9000</v>
      </c>
      <c r="K21" s="4" t="s">
        <v>484</v>
      </c>
      <c r="L21" s="4" t="s">
        <v>484</v>
      </c>
      <c r="M21" s="4"/>
      <c r="N21" s="4"/>
    </row>
    <row r="22" spans="1:14" ht="17" x14ac:dyDescent="0.2">
      <c r="A22" s="4">
        <v>16</v>
      </c>
      <c r="B22" s="4" t="s">
        <v>504</v>
      </c>
      <c r="C22" s="4">
        <v>2017</v>
      </c>
      <c r="D22" s="4"/>
      <c r="E22" s="4"/>
      <c r="F22" s="4"/>
      <c r="G22" s="4"/>
      <c r="H22" s="4"/>
      <c r="I22" s="4"/>
      <c r="J22" s="4" t="s">
        <v>505</v>
      </c>
      <c r="K22" s="4" t="s">
        <v>506</v>
      </c>
      <c r="L22" s="4" t="s">
        <v>484</v>
      </c>
      <c r="M22" s="4"/>
      <c r="N22" s="4"/>
    </row>
    <row r="23" spans="1:14" ht="68" x14ac:dyDescent="0.2">
      <c r="A23" s="4">
        <v>17</v>
      </c>
      <c r="B23" s="4" t="s">
        <v>507</v>
      </c>
      <c r="C23" s="4">
        <v>2021</v>
      </c>
      <c r="D23" s="4" t="s">
        <v>509</v>
      </c>
      <c r="E23" s="4" t="s">
        <v>508</v>
      </c>
      <c r="F23" s="4" t="s">
        <v>510</v>
      </c>
      <c r="G23" s="4" t="s">
        <v>511</v>
      </c>
      <c r="H23" s="4" t="s">
        <v>512</v>
      </c>
      <c r="I23" s="4" t="s">
        <v>513</v>
      </c>
      <c r="J23" s="4"/>
      <c r="K23" s="4"/>
      <c r="L23" s="4"/>
      <c r="M23" s="4"/>
      <c r="N23" s="4"/>
    </row>
    <row r="24" spans="1:14" ht="68" x14ac:dyDescent="0.2">
      <c r="A24" s="4">
        <v>17</v>
      </c>
      <c r="B24" s="4" t="s">
        <v>507</v>
      </c>
      <c r="C24" s="4">
        <v>2021</v>
      </c>
      <c r="D24" s="4" t="s">
        <v>509</v>
      </c>
      <c r="E24" s="4" t="s">
        <v>508</v>
      </c>
      <c r="F24" s="4" t="s">
        <v>510</v>
      </c>
      <c r="G24" s="4" t="s">
        <v>511</v>
      </c>
      <c r="H24" s="4" t="s">
        <v>512</v>
      </c>
      <c r="I24" s="4" t="s">
        <v>513</v>
      </c>
      <c r="J24" s="4"/>
      <c r="K24" s="4"/>
      <c r="L24" s="4"/>
      <c r="M24" s="4"/>
      <c r="N24" s="4"/>
    </row>
    <row r="25" spans="1:14" ht="119" x14ac:dyDescent="0.2">
      <c r="A25" s="4">
        <v>19</v>
      </c>
      <c r="B25" s="4" t="s">
        <v>514</v>
      </c>
      <c r="C25" s="4">
        <v>2017</v>
      </c>
      <c r="D25" s="4" t="s">
        <v>516</v>
      </c>
      <c r="E25" s="4" t="s">
        <v>515</v>
      </c>
      <c r="F25" s="4" t="s">
        <v>517</v>
      </c>
      <c r="G25" s="4" t="s">
        <v>518</v>
      </c>
      <c r="H25" s="4" t="s">
        <v>519</v>
      </c>
      <c r="I25" s="4" t="s">
        <v>520</v>
      </c>
      <c r="J25" s="4"/>
      <c r="K25" s="4"/>
      <c r="L25" s="4"/>
      <c r="M25" s="4"/>
      <c r="N25" s="4"/>
    </row>
    <row r="26" spans="1:14" ht="119" x14ac:dyDescent="0.2">
      <c r="A26" s="4">
        <v>19</v>
      </c>
      <c r="B26" s="4" t="s">
        <v>514</v>
      </c>
      <c r="C26" s="4">
        <v>2018</v>
      </c>
      <c r="D26" s="4" t="s">
        <v>516</v>
      </c>
      <c r="E26" s="4" t="s">
        <v>515</v>
      </c>
      <c r="F26" s="4" t="s">
        <v>517</v>
      </c>
      <c r="G26" s="4" t="s">
        <v>518</v>
      </c>
      <c r="H26" s="4" t="s">
        <v>519</v>
      </c>
      <c r="I26" s="4" t="s">
        <v>520</v>
      </c>
      <c r="J26" s="4"/>
      <c r="K26" s="4"/>
      <c r="L26" s="4"/>
      <c r="M26" s="4"/>
      <c r="N26" s="4"/>
    </row>
    <row r="27" spans="1:14" ht="51" x14ac:dyDescent="0.2">
      <c r="A27" s="4">
        <v>20</v>
      </c>
      <c r="B27" s="4" t="s">
        <v>526</v>
      </c>
      <c r="C27" s="4">
        <v>2018</v>
      </c>
      <c r="D27" s="4" t="s">
        <v>527</v>
      </c>
      <c r="E27" s="4" t="s">
        <v>522</v>
      </c>
      <c r="F27" s="4" t="s">
        <v>524</v>
      </c>
      <c r="G27" s="4" t="s">
        <v>528</v>
      </c>
      <c r="H27" s="4" t="s">
        <v>523</v>
      </c>
      <c r="I27" s="4" t="s">
        <v>525</v>
      </c>
      <c r="J27" s="4"/>
      <c r="K27" s="4"/>
      <c r="L27" s="4"/>
      <c r="M27" s="4" t="s">
        <v>521</v>
      </c>
      <c r="N27" s="4"/>
    </row>
    <row r="28" spans="1:14" ht="255" x14ac:dyDescent="0.2">
      <c r="A28" s="4">
        <v>20</v>
      </c>
      <c r="B28" s="4" t="s">
        <v>526</v>
      </c>
      <c r="C28" s="4">
        <v>2019</v>
      </c>
      <c r="D28" s="4"/>
      <c r="E28" s="4"/>
      <c r="F28" s="4"/>
      <c r="G28" s="4"/>
      <c r="H28" s="4"/>
      <c r="I28" s="4"/>
      <c r="J28" s="4" t="s">
        <v>529</v>
      </c>
      <c r="K28" s="4" t="s">
        <v>530</v>
      </c>
      <c r="L28" s="4" t="s">
        <v>531</v>
      </c>
      <c r="M28" s="4" t="s">
        <v>532</v>
      </c>
      <c r="N28" s="4" t="s">
        <v>533</v>
      </c>
    </row>
    <row r="29" spans="1:14" ht="51" x14ac:dyDescent="0.2">
      <c r="A29" s="4">
        <v>20</v>
      </c>
      <c r="B29" s="4" t="s">
        <v>526</v>
      </c>
      <c r="C29" s="4">
        <v>2018</v>
      </c>
      <c r="D29" s="4" t="s">
        <v>545</v>
      </c>
      <c r="E29" s="4" t="s">
        <v>546</v>
      </c>
      <c r="F29" s="4" t="s">
        <v>547</v>
      </c>
      <c r="G29" s="4" t="s">
        <v>542</v>
      </c>
      <c r="H29" s="4" t="s">
        <v>543</v>
      </c>
      <c r="I29" s="4" t="s">
        <v>544</v>
      </c>
      <c r="J29" s="4"/>
      <c r="K29" s="4"/>
      <c r="L29" s="4"/>
      <c r="M29" s="4"/>
      <c r="N29" s="4"/>
    </row>
    <row r="30" spans="1:14" ht="255" x14ac:dyDescent="0.2">
      <c r="A30" s="4">
        <v>20</v>
      </c>
      <c r="B30" s="4" t="s">
        <v>526</v>
      </c>
      <c r="C30" s="4">
        <v>2022</v>
      </c>
      <c r="D30" s="4" t="s">
        <v>535</v>
      </c>
      <c r="E30" s="4" t="s">
        <v>534</v>
      </c>
      <c r="F30" s="4" t="s">
        <v>484</v>
      </c>
      <c r="G30" s="4" t="s">
        <v>536</v>
      </c>
      <c r="H30" s="4" t="s">
        <v>537</v>
      </c>
      <c r="I30" s="4" t="s">
        <v>484</v>
      </c>
      <c r="J30" s="4" t="s">
        <v>538</v>
      </c>
      <c r="K30" s="4" t="s">
        <v>539</v>
      </c>
      <c r="L30" s="4" t="s">
        <v>540</v>
      </c>
      <c r="M30" s="4" t="s">
        <v>532</v>
      </c>
      <c r="N30" s="4" t="s">
        <v>541</v>
      </c>
    </row>
    <row r="31" spans="1:14" ht="17" x14ac:dyDescent="0.2">
      <c r="A31" s="4">
        <v>21</v>
      </c>
      <c r="B31" s="4" t="s">
        <v>548</v>
      </c>
      <c r="C31" s="4">
        <v>2018</v>
      </c>
      <c r="D31" s="4"/>
      <c r="E31" s="4"/>
      <c r="F31" s="4"/>
      <c r="G31" s="4" t="s">
        <v>549</v>
      </c>
      <c r="H31" s="4" t="s">
        <v>550</v>
      </c>
      <c r="I31" s="4"/>
      <c r="J31" s="4"/>
      <c r="K31" s="4"/>
      <c r="L31" s="4"/>
      <c r="M31" s="4"/>
      <c r="N31" s="4"/>
    </row>
    <row r="32" spans="1:14" ht="17" x14ac:dyDescent="0.2">
      <c r="A32" s="4">
        <v>21</v>
      </c>
      <c r="B32" s="4" t="s">
        <v>548</v>
      </c>
      <c r="C32" s="4">
        <v>2019</v>
      </c>
      <c r="D32" s="4"/>
      <c r="E32" s="4"/>
      <c r="F32" s="4"/>
      <c r="G32" s="4" t="s">
        <v>549</v>
      </c>
      <c r="H32" s="4" t="s">
        <v>550</v>
      </c>
      <c r="I32" s="4"/>
      <c r="J32" s="4"/>
      <c r="K32" s="4"/>
      <c r="L32" s="4"/>
      <c r="M32" s="4"/>
      <c r="N32" s="4"/>
    </row>
    <row r="33" spans="1:14" ht="17" x14ac:dyDescent="0.2">
      <c r="A33" s="4">
        <v>22</v>
      </c>
      <c r="B33" s="4" t="s">
        <v>551</v>
      </c>
      <c r="C33" s="4">
        <v>2018</v>
      </c>
      <c r="D33" s="4" t="s">
        <v>552</v>
      </c>
      <c r="E33" s="4" t="s">
        <v>484</v>
      </c>
      <c r="F33" s="4" t="s">
        <v>484</v>
      </c>
      <c r="G33" s="4" t="s">
        <v>553</v>
      </c>
      <c r="H33" s="4" t="s">
        <v>484</v>
      </c>
      <c r="I33" s="4" t="s">
        <v>484</v>
      </c>
      <c r="J33" s="4"/>
      <c r="K33" s="4"/>
      <c r="L33" s="4"/>
      <c r="M33" s="4"/>
      <c r="N33" s="4"/>
    </row>
    <row r="34" spans="1:14" ht="17" x14ac:dyDescent="0.2">
      <c r="A34" s="4">
        <v>24</v>
      </c>
      <c r="B34" s="4" t="s">
        <v>554</v>
      </c>
      <c r="C34" s="4">
        <v>2019</v>
      </c>
      <c r="D34" s="4"/>
      <c r="E34" s="4"/>
      <c r="F34" s="4"/>
      <c r="G34" s="4"/>
      <c r="H34" s="4"/>
      <c r="I34" s="4"/>
      <c r="J34" s="4" t="s">
        <v>459</v>
      </c>
      <c r="K34" s="4" t="s">
        <v>555</v>
      </c>
      <c r="L34" s="4" t="s">
        <v>484</v>
      </c>
      <c r="M34" s="4"/>
      <c r="N34" s="4"/>
    </row>
    <row r="35" spans="1:14" ht="85" x14ac:dyDescent="0.2">
      <c r="A35" s="4">
        <v>25</v>
      </c>
      <c r="B35" s="4" t="s">
        <v>556</v>
      </c>
      <c r="C35" s="4">
        <v>2019</v>
      </c>
      <c r="D35" s="4" t="s">
        <v>558</v>
      </c>
      <c r="E35" s="4" t="s">
        <v>557</v>
      </c>
      <c r="F35" s="4" t="s">
        <v>559</v>
      </c>
      <c r="G35" s="4">
        <v>23</v>
      </c>
      <c r="H35" s="4" t="s">
        <v>560</v>
      </c>
      <c r="I35" s="4" t="s">
        <v>562</v>
      </c>
      <c r="J35" s="4"/>
      <c r="K35" s="4"/>
      <c r="L35" s="4"/>
      <c r="M35" s="4" t="s">
        <v>561</v>
      </c>
      <c r="N35" s="4"/>
    </row>
    <row r="36" spans="1:14" ht="170" x14ac:dyDescent="0.2">
      <c r="A36" s="4">
        <v>28</v>
      </c>
      <c r="B36" s="4" t="s">
        <v>563</v>
      </c>
      <c r="C36" s="4">
        <v>2020</v>
      </c>
      <c r="D36" s="4"/>
      <c r="E36" s="4"/>
      <c r="F36" s="4"/>
      <c r="G36" s="4"/>
      <c r="H36" s="4"/>
      <c r="I36" s="4"/>
      <c r="J36" s="4" t="s">
        <v>564</v>
      </c>
      <c r="K36" s="4" t="s">
        <v>565</v>
      </c>
      <c r="L36" s="4" t="s">
        <v>566</v>
      </c>
      <c r="M36" s="4"/>
      <c r="N36" s="4"/>
    </row>
    <row r="37" spans="1:14" ht="34" x14ac:dyDescent="0.2">
      <c r="A37" s="4">
        <v>29</v>
      </c>
      <c r="B37" s="4" t="s">
        <v>567</v>
      </c>
      <c r="C37" s="4">
        <v>2021</v>
      </c>
      <c r="D37" s="4"/>
      <c r="E37" s="4"/>
      <c r="F37" s="4"/>
      <c r="G37" s="4"/>
      <c r="H37" s="4"/>
      <c r="I37" s="4"/>
      <c r="J37" s="4" t="s">
        <v>568</v>
      </c>
      <c r="K37" s="4" t="s">
        <v>569</v>
      </c>
      <c r="L37" s="4" t="s">
        <v>484</v>
      </c>
      <c r="M37" s="4"/>
      <c r="N37" s="4"/>
    </row>
    <row r="38" spans="1:14" ht="17" x14ac:dyDescent="0.2">
      <c r="A38" s="4">
        <v>30</v>
      </c>
      <c r="B38" s="4" t="s">
        <v>570</v>
      </c>
      <c r="C38" s="4">
        <v>2021</v>
      </c>
      <c r="D38" s="4" t="s">
        <v>573</v>
      </c>
      <c r="E38" s="4" t="s">
        <v>571</v>
      </c>
      <c r="F38" s="4" t="s">
        <v>572</v>
      </c>
      <c r="G38" s="4" t="s">
        <v>574</v>
      </c>
      <c r="H38" s="4" t="s">
        <v>575</v>
      </c>
      <c r="I38" s="4" t="s">
        <v>576</v>
      </c>
      <c r="J38" s="4"/>
      <c r="K38" s="4"/>
      <c r="L38" s="4"/>
      <c r="M38" s="4"/>
      <c r="N38" s="4"/>
    </row>
    <row r="39" spans="1:14" ht="34" x14ac:dyDescent="0.2">
      <c r="A39" s="4">
        <v>30</v>
      </c>
      <c r="B39" s="4" t="s">
        <v>577</v>
      </c>
      <c r="C39" s="4">
        <v>2020</v>
      </c>
      <c r="D39" s="4" t="s">
        <v>579</v>
      </c>
      <c r="E39" s="4" t="s">
        <v>578</v>
      </c>
      <c r="F39" s="4" t="s">
        <v>580</v>
      </c>
      <c r="G39" s="4" t="s">
        <v>581</v>
      </c>
      <c r="H39" s="4" t="s">
        <v>582</v>
      </c>
      <c r="I39" s="4" t="s">
        <v>583</v>
      </c>
      <c r="J39" s="4"/>
      <c r="K39" s="4"/>
      <c r="M39" s="4" t="s">
        <v>450</v>
      </c>
      <c r="N39" s="4"/>
    </row>
    <row r="40" spans="1:14" ht="51" x14ac:dyDescent="0.2">
      <c r="A40" s="4">
        <v>30</v>
      </c>
      <c r="B40" s="4" t="s">
        <v>584</v>
      </c>
      <c r="C40" s="4">
        <v>2020</v>
      </c>
      <c r="D40" s="4" t="s">
        <v>585</v>
      </c>
      <c r="E40" s="4" t="s">
        <v>586</v>
      </c>
      <c r="F40" s="4" t="s">
        <v>587</v>
      </c>
      <c r="G40" s="4" t="s">
        <v>588</v>
      </c>
      <c r="H40" s="4" t="s">
        <v>589</v>
      </c>
      <c r="I40" s="4" t="s">
        <v>590</v>
      </c>
      <c r="J40" s="4"/>
      <c r="K40" s="4"/>
      <c r="M40" s="4" t="s">
        <v>591</v>
      </c>
      <c r="N40" s="4"/>
    </row>
    <row r="41" spans="1:14" ht="136" x14ac:dyDescent="0.2">
      <c r="A41" s="4">
        <v>30</v>
      </c>
      <c r="B41" s="4" t="s">
        <v>592</v>
      </c>
      <c r="C41" s="4">
        <v>2021</v>
      </c>
      <c r="D41" s="4" t="s">
        <v>593</v>
      </c>
      <c r="E41" s="4" t="s">
        <v>594</v>
      </c>
      <c r="F41" s="4" t="s">
        <v>595</v>
      </c>
      <c r="G41" s="4" t="s">
        <v>597</v>
      </c>
      <c r="H41" s="4" t="s">
        <v>596</v>
      </c>
      <c r="I41" s="4" t="s">
        <v>598</v>
      </c>
      <c r="J41" s="4"/>
      <c r="K41" s="4"/>
      <c r="L41" s="4"/>
      <c r="M41" s="4"/>
      <c r="N41" s="4"/>
    </row>
    <row r="42" spans="1:14" ht="17" x14ac:dyDescent="0.2">
      <c r="A42" s="4">
        <v>32</v>
      </c>
      <c r="B42" s="4" t="s">
        <v>599</v>
      </c>
      <c r="C42" s="4">
        <v>2021</v>
      </c>
      <c r="D42" s="4"/>
      <c r="E42" s="4"/>
      <c r="F42" s="4"/>
      <c r="G42" s="4"/>
      <c r="H42" s="4"/>
      <c r="I42" s="4"/>
      <c r="J42" s="4">
        <v>24</v>
      </c>
      <c r="K42" s="4"/>
      <c r="L42" s="4"/>
      <c r="M42" s="4"/>
      <c r="N42" s="4"/>
    </row>
    <row r="43" spans="1:14" ht="17" x14ac:dyDescent="0.2">
      <c r="A43" s="5">
        <v>33</v>
      </c>
      <c r="B43" s="5" t="s">
        <v>600</v>
      </c>
      <c r="C43" s="5">
        <v>2022</v>
      </c>
      <c r="D43" s="5" t="s">
        <v>601</v>
      </c>
      <c r="E43" s="5" t="s">
        <v>603</v>
      </c>
      <c r="F43" s="5" t="s">
        <v>604</v>
      </c>
      <c r="G43" s="5" t="s">
        <v>602</v>
      </c>
      <c r="H43" s="5" t="s">
        <v>605</v>
      </c>
      <c r="I43" s="5" t="s">
        <v>606</v>
      </c>
      <c r="M43" s="5" t="s">
        <v>607</v>
      </c>
    </row>
    <row r="44" spans="1:14" ht="17" x14ac:dyDescent="0.2">
      <c r="A44" s="5">
        <v>33</v>
      </c>
      <c r="B44" s="5" t="s">
        <v>600</v>
      </c>
      <c r="C44" s="5">
        <v>2022</v>
      </c>
    </row>
    <row r="45" spans="1:14" ht="17" x14ac:dyDescent="0.2">
      <c r="A45" s="5">
        <v>35</v>
      </c>
      <c r="B45" s="5" t="s">
        <v>608</v>
      </c>
      <c r="C45" s="5">
        <v>2022</v>
      </c>
      <c r="D45" s="5" t="s">
        <v>609</v>
      </c>
      <c r="E45" s="5" t="s">
        <v>610</v>
      </c>
      <c r="F45" s="5" t="s">
        <v>611</v>
      </c>
      <c r="G45" s="5" t="s">
        <v>612</v>
      </c>
      <c r="H45" s="5" t="s">
        <v>613</v>
      </c>
      <c r="I45" s="5" t="s">
        <v>614</v>
      </c>
      <c r="M45" s="5" t="s">
        <v>450</v>
      </c>
    </row>
    <row r="46" spans="1:14" ht="34" x14ac:dyDescent="0.2">
      <c r="A46" s="5">
        <v>36</v>
      </c>
      <c r="B46" s="5" t="s">
        <v>615</v>
      </c>
      <c r="C46" s="5">
        <v>2021</v>
      </c>
      <c r="J46" s="4" t="s">
        <v>616</v>
      </c>
      <c r="K46" s="5" t="s">
        <v>617</v>
      </c>
      <c r="L46" s="5" t="s">
        <v>618</v>
      </c>
    </row>
    <row r="47" spans="1:14" ht="34" x14ac:dyDescent="0.2">
      <c r="A47" s="5">
        <v>36</v>
      </c>
      <c r="B47" s="5" t="s">
        <v>619</v>
      </c>
      <c r="C47" s="5">
        <v>2021</v>
      </c>
      <c r="D47" s="5" t="s">
        <v>620</v>
      </c>
      <c r="E47" s="5" t="s">
        <v>621</v>
      </c>
      <c r="F47" s="5" t="s">
        <v>622</v>
      </c>
      <c r="G47" s="5" t="s">
        <v>623</v>
      </c>
      <c r="H47" s="5" t="s">
        <v>624</v>
      </c>
      <c r="I47" s="5" t="s">
        <v>625</v>
      </c>
    </row>
    <row r="48" spans="1:14" ht="34" x14ac:dyDescent="0.2">
      <c r="A48" s="5">
        <v>39</v>
      </c>
      <c r="B48" s="5" t="s">
        <v>626</v>
      </c>
      <c r="C48" s="5">
        <v>2019</v>
      </c>
      <c r="J48" s="5" t="s">
        <v>627</v>
      </c>
    </row>
    <row r="49" spans="1:13" ht="68" x14ac:dyDescent="0.2">
      <c r="A49" s="5">
        <v>44</v>
      </c>
      <c r="B49" s="5" t="s">
        <v>628</v>
      </c>
      <c r="C49" s="5">
        <v>2024</v>
      </c>
      <c r="D49" s="5" t="s">
        <v>640</v>
      </c>
      <c r="E49" s="5" t="s">
        <v>641</v>
      </c>
      <c r="F49" s="5" t="s">
        <v>484</v>
      </c>
      <c r="G49" s="5" t="s">
        <v>642</v>
      </c>
      <c r="H49" s="5" t="s">
        <v>643</v>
      </c>
      <c r="I49" s="5" t="s">
        <v>484</v>
      </c>
      <c r="M49" s="5" t="s">
        <v>639</v>
      </c>
    </row>
    <row r="50" spans="1:13" ht="17" x14ac:dyDescent="0.2">
      <c r="A50" s="5">
        <v>45</v>
      </c>
      <c r="B50" s="5" t="s">
        <v>567</v>
      </c>
      <c r="C50" s="5">
        <v>2015</v>
      </c>
      <c r="J50" s="5" t="s">
        <v>629</v>
      </c>
    </row>
    <row r="51" spans="1:13" ht="17" x14ac:dyDescent="0.2">
      <c r="A51" s="5">
        <v>46</v>
      </c>
      <c r="B51" s="5" t="s">
        <v>630</v>
      </c>
      <c r="C51" s="5">
        <v>2016</v>
      </c>
      <c r="J51" s="5" t="s">
        <v>631</v>
      </c>
      <c r="K51" s="5" t="s">
        <v>632</v>
      </c>
      <c r="L51" s="5" t="s">
        <v>633</v>
      </c>
    </row>
    <row r="52" spans="1:13" ht="34" x14ac:dyDescent="0.2">
      <c r="A52" s="5">
        <v>47</v>
      </c>
      <c r="B52" s="5" t="s">
        <v>634</v>
      </c>
      <c r="C52" s="5">
        <v>2014</v>
      </c>
      <c r="J52" s="5" t="s">
        <v>635</v>
      </c>
      <c r="K52" s="5" t="s">
        <v>636</v>
      </c>
      <c r="L52" s="5" t="s">
        <v>637</v>
      </c>
    </row>
    <row r="53" spans="1:13" ht="17" x14ac:dyDescent="0.2">
      <c r="A53" s="5">
        <v>48</v>
      </c>
      <c r="B53" s="5" t="s">
        <v>650</v>
      </c>
      <c r="C53" s="5">
        <v>2015</v>
      </c>
      <c r="D53" s="5" t="s">
        <v>638</v>
      </c>
      <c r="E53" s="5" t="s">
        <v>644</v>
      </c>
      <c r="F53" s="5" t="s">
        <v>645</v>
      </c>
      <c r="G53" s="5" t="s">
        <v>646</v>
      </c>
      <c r="H53" s="5" t="s">
        <v>647</v>
      </c>
      <c r="I53" s="5" t="s">
        <v>648</v>
      </c>
      <c r="M53" s="5" t="s">
        <v>521</v>
      </c>
    </row>
    <row r="54" spans="1:13" ht="119" x14ac:dyDescent="0.2">
      <c r="A54" s="5">
        <v>49</v>
      </c>
      <c r="B54" s="5" t="s">
        <v>649</v>
      </c>
      <c r="C54" s="5">
        <v>2019</v>
      </c>
      <c r="D54" s="5" t="s">
        <v>651</v>
      </c>
      <c r="E54" s="5" t="s">
        <v>652</v>
      </c>
      <c r="F54" s="5" t="s">
        <v>653</v>
      </c>
      <c r="G54" s="5" t="s">
        <v>654</v>
      </c>
      <c r="H54" s="5" t="s">
        <v>655</v>
      </c>
      <c r="I54" s="5" t="s">
        <v>656</v>
      </c>
    </row>
    <row r="56" spans="1:13" ht="17" x14ac:dyDescent="0.2">
      <c r="B56" s="5" t="s">
        <v>735</v>
      </c>
    </row>
    <row r="57" spans="1:13" ht="17" x14ac:dyDescent="0.2">
      <c r="B57" s="5" t="s">
        <v>734</v>
      </c>
    </row>
  </sheetData>
  <mergeCells count="6">
    <mergeCell ref="A1:A2"/>
    <mergeCell ref="J1:L1"/>
    <mergeCell ref="D1:F1"/>
    <mergeCell ref="G1:I1"/>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58EB-F2BD-164F-97FB-AAEB30078A1D}">
  <dimension ref="A1:G27"/>
  <sheetViews>
    <sheetView workbookViewId="0">
      <selection activeCell="G4" sqref="A4:G4"/>
    </sheetView>
  </sheetViews>
  <sheetFormatPr baseColWidth="10" defaultRowHeight="16" x14ac:dyDescent="0.2"/>
  <cols>
    <col min="1" max="1" width="10.83203125" style="5"/>
    <col min="2" max="2" width="15.33203125" style="5" customWidth="1"/>
    <col min="3" max="3" width="10.83203125" style="5"/>
    <col min="4" max="4" width="14.1640625" style="5" customWidth="1"/>
    <col min="5" max="16384" width="10.83203125" style="5"/>
  </cols>
  <sheetData>
    <row r="1" spans="1:7" ht="34" x14ac:dyDescent="0.2">
      <c r="A1" s="5" t="s">
        <v>419</v>
      </c>
      <c r="B1" s="5" t="s">
        <v>657</v>
      </c>
      <c r="C1" s="5" t="s">
        <v>407</v>
      </c>
      <c r="D1" s="5" t="s">
        <v>658</v>
      </c>
      <c r="E1" s="5" t="s">
        <v>666</v>
      </c>
      <c r="F1" s="5" t="s">
        <v>665</v>
      </c>
      <c r="G1" s="5" t="s">
        <v>659</v>
      </c>
    </row>
    <row r="2" spans="1:7" ht="85" x14ac:dyDescent="0.2">
      <c r="A2" s="4">
        <v>3</v>
      </c>
      <c r="B2" s="4" t="s">
        <v>426</v>
      </c>
      <c r="C2" s="4">
        <v>2021</v>
      </c>
      <c r="D2" s="5" t="s">
        <v>661</v>
      </c>
      <c r="E2" s="5">
        <v>100</v>
      </c>
      <c r="F2" s="5">
        <v>100</v>
      </c>
      <c r="G2" s="5">
        <v>1</v>
      </c>
    </row>
    <row r="3" spans="1:7" ht="136" x14ac:dyDescent="0.2">
      <c r="A3" s="4">
        <v>4</v>
      </c>
      <c r="B3" s="4" t="s">
        <v>432</v>
      </c>
      <c r="C3" s="4">
        <v>2012</v>
      </c>
      <c r="D3" s="5" t="s">
        <v>660</v>
      </c>
      <c r="E3" s="5">
        <v>75</v>
      </c>
      <c r="F3" s="5">
        <v>96</v>
      </c>
      <c r="G3" s="5" t="s">
        <v>484</v>
      </c>
    </row>
    <row r="4" spans="1:7" ht="34" x14ac:dyDescent="0.2">
      <c r="A4" s="4">
        <v>6</v>
      </c>
      <c r="B4" s="4" t="s">
        <v>441</v>
      </c>
      <c r="C4" s="4">
        <v>2021</v>
      </c>
      <c r="D4" s="5" t="s">
        <v>662</v>
      </c>
      <c r="E4" s="5" t="s">
        <v>484</v>
      </c>
      <c r="F4" s="5" t="s">
        <v>484</v>
      </c>
      <c r="G4" s="5" t="s">
        <v>751</v>
      </c>
    </row>
    <row r="5" spans="1:7" ht="68" x14ac:dyDescent="0.2">
      <c r="A5" s="4">
        <v>6</v>
      </c>
      <c r="B5" s="4" t="s">
        <v>457</v>
      </c>
      <c r="C5" s="4">
        <v>2020</v>
      </c>
      <c r="D5" s="5" t="s">
        <v>663</v>
      </c>
      <c r="E5" s="5" t="s">
        <v>664</v>
      </c>
      <c r="F5" s="5" t="s">
        <v>667</v>
      </c>
      <c r="G5" s="5" t="s">
        <v>668</v>
      </c>
    </row>
    <row r="6" spans="1:7" ht="255" x14ac:dyDescent="0.2">
      <c r="A6" s="4">
        <v>7</v>
      </c>
      <c r="B6" s="4" t="s">
        <v>466</v>
      </c>
      <c r="C6" s="4">
        <v>2021</v>
      </c>
      <c r="D6" s="5" t="s">
        <v>669</v>
      </c>
      <c r="E6" s="5" t="s">
        <v>484</v>
      </c>
      <c r="F6" s="5" t="s">
        <v>484</v>
      </c>
      <c r="G6" s="5" t="s">
        <v>670</v>
      </c>
    </row>
    <row r="7" spans="1:7" ht="17" x14ac:dyDescent="0.2">
      <c r="A7" s="4">
        <v>9</v>
      </c>
      <c r="B7" s="4" t="s">
        <v>478</v>
      </c>
      <c r="C7" s="4">
        <v>2015</v>
      </c>
      <c r="D7" s="5" t="s">
        <v>671</v>
      </c>
      <c r="E7" s="5">
        <v>83</v>
      </c>
      <c r="F7" s="5">
        <v>62</v>
      </c>
      <c r="G7" s="5" t="s">
        <v>484</v>
      </c>
    </row>
    <row r="8" spans="1:7" ht="17" x14ac:dyDescent="0.2">
      <c r="D8" s="5" t="s">
        <v>672</v>
      </c>
      <c r="E8" s="5">
        <v>82</v>
      </c>
      <c r="F8" s="5">
        <v>67</v>
      </c>
      <c r="G8" s="5" t="s">
        <v>484</v>
      </c>
    </row>
    <row r="9" spans="1:7" ht="68" x14ac:dyDescent="0.2">
      <c r="A9" s="4">
        <v>16</v>
      </c>
      <c r="B9" s="4" t="s">
        <v>504</v>
      </c>
      <c r="C9" s="4">
        <v>2017</v>
      </c>
      <c r="D9" s="5" t="s">
        <v>677</v>
      </c>
      <c r="E9" s="5" t="s">
        <v>673</v>
      </c>
      <c r="F9" s="5" t="s">
        <v>674</v>
      </c>
    </row>
    <row r="10" spans="1:7" ht="68" x14ac:dyDescent="0.2">
      <c r="D10" s="5" t="s">
        <v>678</v>
      </c>
      <c r="E10" s="5" t="s">
        <v>675</v>
      </c>
      <c r="F10" s="5" t="s">
        <v>676</v>
      </c>
    </row>
    <row r="11" spans="1:7" ht="136" x14ac:dyDescent="0.2">
      <c r="A11" s="4">
        <v>17</v>
      </c>
      <c r="B11" s="4" t="s">
        <v>507</v>
      </c>
      <c r="C11" s="4">
        <v>2021</v>
      </c>
      <c r="D11" s="5" t="s">
        <v>681</v>
      </c>
      <c r="E11" s="5" t="s">
        <v>674</v>
      </c>
      <c r="F11" s="5" t="s">
        <v>679</v>
      </c>
      <c r="G11" s="5" t="s">
        <v>680</v>
      </c>
    </row>
    <row r="12" spans="1:7" ht="51" x14ac:dyDescent="0.2">
      <c r="A12" s="4">
        <v>20</v>
      </c>
      <c r="B12" s="4" t="s">
        <v>526</v>
      </c>
      <c r="C12" s="4">
        <v>2019</v>
      </c>
      <c r="D12" s="5" t="s">
        <v>682</v>
      </c>
      <c r="E12" s="5">
        <v>100</v>
      </c>
      <c r="F12" s="5">
        <v>100</v>
      </c>
      <c r="G12" s="5" t="s">
        <v>683</v>
      </c>
    </row>
    <row r="13" spans="1:7" ht="68" x14ac:dyDescent="0.2">
      <c r="A13" s="4">
        <v>20</v>
      </c>
      <c r="B13" s="4" t="s">
        <v>526</v>
      </c>
      <c r="C13" s="4">
        <v>2022</v>
      </c>
      <c r="D13" s="5" t="s">
        <v>684</v>
      </c>
      <c r="E13" s="5">
        <v>100</v>
      </c>
      <c r="F13" s="5">
        <v>100</v>
      </c>
      <c r="G13" s="5" t="s">
        <v>484</v>
      </c>
    </row>
    <row r="14" spans="1:7" ht="68" x14ac:dyDescent="0.2">
      <c r="A14" s="4">
        <v>25</v>
      </c>
      <c r="B14" s="4" t="s">
        <v>556</v>
      </c>
      <c r="C14" s="4">
        <v>2019</v>
      </c>
      <c r="D14" s="5" t="s">
        <v>685</v>
      </c>
      <c r="E14" s="5" t="s">
        <v>687</v>
      </c>
      <c r="F14" s="5" t="s">
        <v>688</v>
      </c>
      <c r="G14" s="5" t="s">
        <v>686</v>
      </c>
    </row>
    <row r="15" spans="1:7" ht="68" x14ac:dyDescent="0.2">
      <c r="A15" s="4">
        <v>28</v>
      </c>
      <c r="B15" s="4" t="s">
        <v>563</v>
      </c>
      <c r="C15" s="4">
        <v>2020</v>
      </c>
      <c r="D15" s="5" t="s">
        <v>691</v>
      </c>
      <c r="E15" s="5">
        <v>100</v>
      </c>
      <c r="F15" s="5" t="s">
        <v>689</v>
      </c>
      <c r="G15" s="5" t="s">
        <v>690</v>
      </c>
    </row>
    <row r="16" spans="1:7" ht="51" x14ac:dyDescent="0.2">
      <c r="A16" s="4">
        <v>30</v>
      </c>
      <c r="B16" s="4" t="s">
        <v>577</v>
      </c>
      <c r="C16" s="4">
        <v>2020</v>
      </c>
      <c r="D16" s="5" t="s">
        <v>692</v>
      </c>
      <c r="E16" s="5">
        <v>74</v>
      </c>
      <c r="F16" s="5">
        <v>85</v>
      </c>
      <c r="G16" s="5" t="s">
        <v>484</v>
      </c>
    </row>
    <row r="17" spans="1:7" ht="68" x14ac:dyDescent="0.2">
      <c r="D17" s="5" t="s">
        <v>693</v>
      </c>
      <c r="E17" s="5">
        <v>79</v>
      </c>
      <c r="F17" s="5">
        <v>86</v>
      </c>
      <c r="G17" s="5" t="s">
        <v>484</v>
      </c>
    </row>
    <row r="18" spans="1:7" ht="51" x14ac:dyDescent="0.2">
      <c r="A18" s="4">
        <v>30</v>
      </c>
      <c r="B18" s="4" t="s">
        <v>584</v>
      </c>
      <c r="C18" s="4">
        <v>2020</v>
      </c>
      <c r="D18" s="5" t="s">
        <v>692</v>
      </c>
      <c r="E18" s="5" t="s">
        <v>694</v>
      </c>
      <c r="F18" s="5" t="s">
        <v>695</v>
      </c>
      <c r="G18" s="5" t="s">
        <v>484</v>
      </c>
    </row>
    <row r="19" spans="1:7" ht="68" x14ac:dyDescent="0.2">
      <c r="A19" s="4">
        <v>30</v>
      </c>
      <c r="B19" s="4" t="s">
        <v>592</v>
      </c>
      <c r="C19" s="4">
        <v>2021</v>
      </c>
      <c r="D19" s="5" t="s">
        <v>696</v>
      </c>
      <c r="E19" s="5" t="s">
        <v>698</v>
      </c>
      <c r="F19" s="5" t="s">
        <v>699</v>
      </c>
      <c r="G19" s="5" t="s">
        <v>697</v>
      </c>
    </row>
    <row r="20" spans="1:7" ht="85" x14ac:dyDescent="0.2">
      <c r="A20" s="5">
        <v>33</v>
      </c>
      <c r="B20" s="5" t="s">
        <v>600</v>
      </c>
      <c r="C20" s="5">
        <v>2022</v>
      </c>
      <c r="D20" s="5" t="s">
        <v>700</v>
      </c>
      <c r="E20" s="5" t="s">
        <v>701</v>
      </c>
      <c r="F20" s="5" t="s">
        <v>702</v>
      </c>
      <c r="G20" s="5" t="s">
        <v>484</v>
      </c>
    </row>
    <row r="21" spans="1:7" ht="68" x14ac:dyDescent="0.2">
      <c r="A21" s="5">
        <v>36</v>
      </c>
      <c r="B21" s="5" t="s">
        <v>615</v>
      </c>
      <c r="C21" s="5">
        <v>2021</v>
      </c>
      <c r="D21" s="5" t="s">
        <v>705</v>
      </c>
      <c r="E21" s="5" t="s">
        <v>703</v>
      </c>
      <c r="F21" s="5" t="s">
        <v>704</v>
      </c>
      <c r="G21" s="5" t="s">
        <v>484</v>
      </c>
    </row>
    <row r="22" spans="1:7" ht="388" x14ac:dyDescent="0.2">
      <c r="A22" s="5">
        <v>36</v>
      </c>
      <c r="B22" s="5" t="s">
        <v>619</v>
      </c>
      <c r="C22" s="5">
        <v>2021</v>
      </c>
      <c r="D22" s="5" t="s">
        <v>706</v>
      </c>
      <c r="E22" s="5" t="s">
        <v>707</v>
      </c>
      <c r="F22" s="5">
        <v>90</v>
      </c>
      <c r="G22" s="5" t="s">
        <v>708</v>
      </c>
    </row>
    <row r="23" spans="1:7" ht="34" x14ac:dyDescent="0.2">
      <c r="A23" s="5">
        <v>48</v>
      </c>
      <c r="B23" s="5" t="s">
        <v>650</v>
      </c>
      <c r="C23" s="5">
        <v>2015</v>
      </c>
      <c r="D23" s="5" t="s">
        <v>709</v>
      </c>
      <c r="E23" s="5" t="s">
        <v>710</v>
      </c>
      <c r="F23" s="5" t="s">
        <v>711</v>
      </c>
      <c r="G23" s="5" t="s">
        <v>484</v>
      </c>
    </row>
    <row r="24" spans="1:7" ht="34" x14ac:dyDescent="0.2">
      <c r="D24" s="5" t="s">
        <v>712</v>
      </c>
      <c r="E24" s="5" t="s">
        <v>711</v>
      </c>
      <c r="F24" s="5" t="s">
        <v>713</v>
      </c>
      <c r="G24" s="5" t="s">
        <v>484</v>
      </c>
    </row>
    <row r="26" spans="1:7" ht="17" x14ac:dyDescent="0.2">
      <c r="A26" s="5" t="s">
        <v>714</v>
      </c>
    </row>
    <row r="27" spans="1:7" ht="17" x14ac:dyDescent="0.2">
      <c r="A27" s="5" t="s">
        <v>715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2E68E-E325-594D-B977-D4D41041464B}">
  <dimension ref="A1:L28"/>
  <sheetViews>
    <sheetView zoomScale="131" workbookViewId="0">
      <selection activeCell="F12" sqref="F12"/>
    </sheetView>
  </sheetViews>
  <sheetFormatPr baseColWidth="10" defaultRowHeight="16" x14ac:dyDescent="0.2"/>
  <cols>
    <col min="1" max="10" width="10.83203125" style="5"/>
    <col min="11" max="11" width="14.1640625" style="5" bestFit="1" customWidth="1"/>
    <col min="12" max="12" width="12.1640625" style="5" bestFit="1" customWidth="1"/>
    <col min="13" max="16384" width="10.83203125" style="5"/>
  </cols>
  <sheetData>
    <row r="1" spans="1:12" ht="34" x14ac:dyDescent="0.2">
      <c r="A1" s="5" t="s">
        <v>419</v>
      </c>
      <c r="B1" s="5" t="s">
        <v>657</v>
      </c>
      <c r="C1" s="5" t="s">
        <v>407</v>
      </c>
      <c r="D1" s="5" t="s">
        <v>658</v>
      </c>
      <c r="E1" s="22" t="s">
        <v>716</v>
      </c>
      <c r="F1" s="22"/>
      <c r="G1" s="22"/>
      <c r="H1" s="22" t="s">
        <v>409</v>
      </c>
      <c r="I1" s="22"/>
      <c r="J1" s="22"/>
      <c r="K1" s="5" t="s">
        <v>720</v>
      </c>
      <c r="L1" s="5" t="s">
        <v>743</v>
      </c>
    </row>
    <row r="2" spans="1:12" ht="51" x14ac:dyDescent="0.2">
      <c r="E2" s="5" t="s">
        <v>721</v>
      </c>
      <c r="F2" s="5" t="s">
        <v>718</v>
      </c>
      <c r="G2" s="5" t="s">
        <v>719</v>
      </c>
      <c r="H2" s="5" t="s">
        <v>717</v>
      </c>
      <c r="I2" s="5" t="s">
        <v>718</v>
      </c>
      <c r="J2" s="5" t="s">
        <v>719</v>
      </c>
    </row>
    <row r="3" spans="1:12" ht="17" x14ac:dyDescent="0.2">
      <c r="A3" s="4">
        <v>3</v>
      </c>
      <c r="B3" s="4" t="s">
        <v>426</v>
      </c>
      <c r="C3" s="4">
        <v>2021</v>
      </c>
      <c r="D3" s="5" t="s">
        <v>722</v>
      </c>
      <c r="K3" s="6"/>
      <c r="L3" s="6"/>
    </row>
    <row r="4" spans="1:12" ht="34" x14ac:dyDescent="0.2">
      <c r="A4" s="4">
        <v>4</v>
      </c>
      <c r="B4" s="4" t="s">
        <v>432</v>
      </c>
      <c r="C4" s="4">
        <v>2012</v>
      </c>
      <c r="D4" s="5" t="s">
        <v>736</v>
      </c>
      <c r="K4" s="6"/>
      <c r="L4" s="6"/>
    </row>
    <row r="5" spans="1:12" ht="34" x14ac:dyDescent="0.2">
      <c r="A5" s="4">
        <v>6</v>
      </c>
      <c r="B5" s="4" t="s">
        <v>441</v>
      </c>
      <c r="C5" s="5">
        <v>2021</v>
      </c>
      <c r="D5" s="5" t="s">
        <v>723</v>
      </c>
      <c r="K5" s="6"/>
      <c r="L5" s="6"/>
    </row>
    <row r="6" spans="1:12" ht="34" x14ac:dyDescent="0.2">
      <c r="A6" s="4">
        <v>6</v>
      </c>
      <c r="B6" s="4" t="s">
        <v>457</v>
      </c>
      <c r="C6" s="4">
        <v>2020</v>
      </c>
      <c r="D6" s="5" t="s">
        <v>724</v>
      </c>
      <c r="K6" s="6"/>
      <c r="L6" s="6"/>
    </row>
    <row r="7" spans="1:12" ht="34" x14ac:dyDescent="0.2">
      <c r="A7" s="4">
        <v>7</v>
      </c>
      <c r="B7" s="4" t="s">
        <v>466</v>
      </c>
      <c r="C7" s="4">
        <v>2021</v>
      </c>
      <c r="D7" s="5" t="s">
        <v>737</v>
      </c>
      <c r="K7" s="6"/>
      <c r="L7" s="6"/>
    </row>
    <row r="8" spans="1:12" ht="34" x14ac:dyDescent="0.2">
      <c r="A8" s="4">
        <v>9</v>
      </c>
      <c r="B8" s="4" t="s">
        <v>478</v>
      </c>
      <c r="C8" s="4">
        <v>2015</v>
      </c>
      <c r="D8" s="5" t="s">
        <v>736</v>
      </c>
      <c r="K8" s="6"/>
      <c r="L8" s="6"/>
    </row>
    <row r="9" spans="1:12" ht="34" x14ac:dyDescent="0.2">
      <c r="A9" s="4">
        <v>16</v>
      </c>
      <c r="B9" s="4" t="s">
        <v>504</v>
      </c>
      <c r="C9" s="4">
        <v>2017</v>
      </c>
      <c r="D9" s="5" t="s">
        <v>736</v>
      </c>
      <c r="K9" s="6"/>
      <c r="L9" s="6"/>
    </row>
    <row r="10" spans="1:12" ht="17" x14ac:dyDescent="0.2">
      <c r="A10" s="4">
        <v>17</v>
      </c>
      <c r="B10" s="4" t="s">
        <v>507</v>
      </c>
      <c r="C10" s="4">
        <v>2021</v>
      </c>
      <c r="D10" s="5" t="s">
        <v>738</v>
      </c>
      <c r="K10" s="6"/>
      <c r="L10" s="6"/>
    </row>
    <row r="11" spans="1:12" ht="51" x14ac:dyDescent="0.2">
      <c r="A11" s="4">
        <v>20</v>
      </c>
      <c r="B11" s="4" t="s">
        <v>526</v>
      </c>
      <c r="C11" s="4">
        <v>2019</v>
      </c>
      <c r="D11" s="5" t="s">
        <v>736</v>
      </c>
      <c r="K11" s="6"/>
      <c r="L11" s="6"/>
    </row>
    <row r="12" spans="1:12" ht="51" x14ac:dyDescent="0.2">
      <c r="A12" s="4">
        <v>20</v>
      </c>
      <c r="B12" s="4" t="s">
        <v>526</v>
      </c>
      <c r="C12" s="4">
        <v>2022</v>
      </c>
      <c r="D12" s="5" t="s">
        <v>736</v>
      </c>
      <c r="K12" s="6"/>
      <c r="L12" s="6"/>
    </row>
    <row r="13" spans="1:12" ht="34" x14ac:dyDescent="0.2">
      <c r="A13" s="4">
        <v>25</v>
      </c>
      <c r="B13" s="4" t="s">
        <v>556</v>
      </c>
      <c r="C13" s="4">
        <v>2019</v>
      </c>
      <c r="D13" s="5" t="s">
        <v>739</v>
      </c>
      <c r="E13" s="5">
        <v>37</v>
      </c>
      <c r="F13" s="5">
        <v>67.599999999999994</v>
      </c>
      <c r="G13" s="5">
        <v>33.299999999999997</v>
      </c>
      <c r="H13" s="5">
        <v>23</v>
      </c>
      <c r="I13" s="5">
        <v>41.3</v>
      </c>
      <c r="J13" s="5">
        <v>23.4</v>
      </c>
      <c r="K13" s="6">
        <f t="shared" ref="K13:K28" si="0">((F13-I13)/SQRT(((E13-1)*G13^2+(H13-1)*J13^2)/(E13+H13-2)))*(1-3/(4*(E13+H13)-9))</f>
        <v>0.86722435011723875</v>
      </c>
      <c r="L13" s="6">
        <f t="shared" ref="L13:L28" si="1">SQRT(((E13+H13)/(E13*H13))+(K13^2/(2*(E13+H13))))</f>
        <v>0.277078698523051</v>
      </c>
    </row>
    <row r="14" spans="1:12" ht="119" x14ac:dyDescent="0.2">
      <c r="D14" s="5" t="s">
        <v>740</v>
      </c>
      <c r="E14" s="5">
        <v>37</v>
      </c>
      <c r="F14" s="5">
        <v>87.8</v>
      </c>
      <c r="G14" s="5">
        <v>20.9</v>
      </c>
      <c r="H14" s="5">
        <v>23</v>
      </c>
      <c r="I14" s="5">
        <v>65.2</v>
      </c>
      <c r="J14" s="5">
        <v>26.9</v>
      </c>
      <c r="K14" s="6">
        <f t="shared" si="0"/>
        <v>0.95498298782382407</v>
      </c>
      <c r="L14" s="6">
        <f t="shared" si="1"/>
        <v>0.27947312116767131</v>
      </c>
    </row>
    <row r="15" spans="1:12" ht="51" x14ac:dyDescent="0.2">
      <c r="D15" s="5" t="s">
        <v>741</v>
      </c>
      <c r="E15" s="5">
        <v>37</v>
      </c>
      <c r="F15" s="5">
        <v>98.6</v>
      </c>
      <c r="G15" s="5">
        <v>5.7</v>
      </c>
      <c r="H15" s="5">
        <v>23</v>
      </c>
      <c r="I15" s="5">
        <v>93.5</v>
      </c>
      <c r="J15" s="5">
        <v>11.2</v>
      </c>
      <c r="K15" s="6">
        <f t="shared" si="0"/>
        <v>0.61157305191498135</v>
      </c>
      <c r="L15" s="6">
        <f t="shared" si="1"/>
        <v>0.27133399076629516</v>
      </c>
    </row>
    <row r="16" spans="1:12" ht="51" x14ac:dyDescent="0.2">
      <c r="D16" s="5" t="s">
        <v>742</v>
      </c>
      <c r="E16" s="5">
        <v>37</v>
      </c>
      <c r="F16" s="5">
        <v>552</v>
      </c>
      <c r="G16" s="5">
        <v>57.2</v>
      </c>
      <c r="H16" s="5">
        <v>23</v>
      </c>
      <c r="I16" s="5">
        <v>476.1</v>
      </c>
      <c r="J16" s="5">
        <v>61.9</v>
      </c>
      <c r="K16" s="6">
        <f t="shared" si="0"/>
        <v>1.2691565323209781</v>
      </c>
      <c r="L16" s="6">
        <f t="shared" si="1"/>
        <v>0.28970376897680727</v>
      </c>
    </row>
    <row r="17" spans="1:12" ht="34" x14ac:dyDescent="0.2">
      <c r="A17" s="4">
        <v>28</v>
      </c>
      <c r="B17" s="4" t="s">
        <v>563</v>
      </c>
      <c r="C17" s="4">
        <v>2020</v>
      </c>
      <c r="D17" s="5" t="s">
        <v>736</v>
      </c>
      <c r="K17" s="6"/>
      <c r="L17" s="6"/>
    </row>
    <row r="18" spans="1:12" ht="34" x14ac:dyDescent="0.2">
      <c r="A18" s="4">
        <v>30</v>
      </c>
      <c r="B18" s="4" t="s">
        <v>577</v>
      </c>
      <c r="C18" s="4">
        <v>2020</v>
      </c>
      <c r="D18" s="5" t="s">
        <v>736</v>
      </c>
      <c r="K18" s="6"/>
      <c r="L18" s="6"/>
    </row>
    <row r="19" spans="1:12" ht="34" x14ac:dyDescent="0.2">
      <c r="A19" s="4">
        <v>30</v>
      </c>
      <c r="B19" s="4" t="s">
        <v>584</v>
      </c>
      <c r="C19" s="4">
        <v>2020</v>
      </c>
      <c r="D19" s="5" t="s">
        <v>736</v>
      </c>
      <c r="K19" s="6"/>
      <c r="L19" s="6"/>
    </row>
    <row r="20" spans="1:12" ht="17" x14ac:dyDescent="0.2">
      <c r="A20" s="4">
        <v>30</v>
      </c>
      <c r="B20" s="4" t="s">
        <v>592</v>
      </c>
      <c r="C20" s="4">
        <v>2021</v>
      </c>
      <c r="D20" s="5" t="s">
        <v>744</v>
      </c>
      <c r="K20" s="6"/>
      <c r="L20" s="6"/>
    </row>
    <row r="21" spans="1:12" ht="51" x14ac:dyDescent="0.2">
      <c r="A21" s="5">
        <v>33</v>
      </c>
      <c r="B21" s="5" t="s">
        <v>600</v>
      </c>
      <c r="C21" s="5">
        <v>2022</v>
      </c>
      <c r="D21" s="5" t="s">
        <v>745</v>
      </c>
      <c r="K21" s="6"/>
      <c r="L21" s="6"/>
    </row>
    <row r="22" spans="1:12" ht="34" x14ac:dyDescent="0.2">
      <c r="A22" s="5">
        <v>36</v>
      </c>
      <c r="B22" s="5" t="s">
        <v>615</v>
      </c>
      <c r="C22" s="5">
        <v>2021</v>
      </c>
      <c r="D22" s="5" t="s">
        <v>736</v>
      </c>
      <c r="K22" s="6"/>
      <c r="L22" s="6"/>
    </row>
    <row r="23" spans="1:12" ht="51" x14ac:dyDescent="0.2">
      <c r="A23" s="5">
        <v>36</v>
      </c>
      <c r="B23" s="5" t="s">
        <v>619</v>
      </c>
      <c r="C23" s="5">
        <v>2021</v>
      </c>
      <c r="D23" s="5" t="s">
        <v>746</v>
      </c>
      <c r="K23" s="6"/>
      <c r="L23" s="6"/>
    </row>
    <row r="24" spans="1:12" ht="34" x14ac:dyDescent="0.2">
      <c r="A24" s="5">
        <v>48</v>
      </c>
      <c r="B24" s="5" t="s">
        <v>650</v>
      </c>
      <c r="C24" s="5">
        <v>2015</v>
      </c>
      <c r="D24" s="5" t="s">
        <v>747</v>
      </c>
      <c r="E24" s="5">
        <v>75</v>
      </c>
      <c r="F24" s="5">
        <v>19.3</v>
      </c>
      <c r="G24" s="5">
        <v>9.5</v>
      </c>
      <c r="H24" s="5">
        <v>41</v>
      </c>
      <c r="I24" s="5">
        <v>30.9</v>
      </c>
      <c r="J24" s="5">
        <v>18.399999999999999</v>
      </c>
      <c r="K24" s="6">
        <f>((F24-I24)/SQRT(((E24-1)*G24^2+(H24-1)*J24^2)/(E24+H24-2)))*(1-3/(4*(E24+H24)-9))</f>
        <v>-0.86524124256587231</v>
      </c>
      <c r="L24" s="6">
        <f t="shared" si="1"/>
        <v>0.20236225973759034</v>
      </c>
    </row>
    <row r="25" spans="1:12" ht="17" x14ac:dyDescent="0.2">
      <c r="D25" s="5" t="s">
        <v>748</v>
      </c>
      <c r="E25" s="5">
        <v>75</v>
      </c>
      <c r="F25" s="5">
        <v>2.4</v>
      </c>
      <c r="G25" s="5">
        <v>1.3</v>
      </c>
      <c r="H25" s="5">
        <v>41</v>
      </c>
      <c r="I25" s="5">
        <v>3.1</v>
      </c>
      <c r="J25" s="5">
        <v>1.8</v>
      </c>
      <c r="K25" s="6">
        <f t="shared" si="0"/>
        <v>-0.46526152137355781</v>
      </c>
      <c r="L25" s="6">
        <f t="shared" si="1"/>
        <v>0.19661289423866707</v>
      </c>
    </row>
    <row r="26" spans="1:12" ht="51" x14ac:dyDescent="0.2">
      <c r="D26" s="5" t="s">
        <v>712</v>
      </c>
      <c r="E26" s="5">
        <v>75</v>
      </c>
      <c r="F26" s="5">
        <v>53.2</v>
      </c>
      <c r="G26" s="5">
        <v>36.200000000000003</v>
      </c>
      <c r="H26" s="5">
        <v>41</v>
      </c>
      <c r="I26" s="5">
        <v>62.3</v>
      </c>
      <c r="J26" s="5">
        <v>35.200000000000003</v>
      </c>
      <c r="K26" s="6">
        <f t="shared" si="0"/>
        <v>-0.25214561310745159</v>
      </c>
      <c r="L26" s="6">
        <f t="shared" si="1"/>
        <v>0.19492977657869381</v>
      </c>
    </row>
    <row r="27" spans="1:12" ht="51" x14ac:dyDescent="0.2">
      <c r="D27" s="5" t="s">
        <v>749</v>
      </c>
      <c r="E27" s="5">
        <v>75</v>
      </c>
      <c r="F27" s="5">
        <v>20.399999999999999</v>
      </c>
      <c r="G27" s="5">
        <v>12.5</v>
      </c>
      <c r="H27" s="5">
        <v>41</v>
      </c>
      <c r="I27" s="5">
        <v>29.5</v>
      </c>
      <c r="J27" s="5">
        <v>20</v>
      </c>
      <c r="K27" s="6">
        <f t="shared" si="0"/>
        <v>-0.58138196139372411</v>
      </c>
      <c r="L27" s="6">
        <f t="shared" si="1"/>
        <v>0.19794063573382822</v>
      </c>
    </row>
    <row r="28" spans="1:12" ht="34" x14ac:dyDescent="0.2">
      <c r="D28" s="5" t="s">
        <v>750</v>
      </c>
      <c r="E28" s="5">
        <v>75</v>
      </c>
      <c r="F28" s="5">
        <v>92.6</v>
      </c>
      <c r="G28" s="5">
        <v>12.2</v>
      </c>
      <c r="H28" s="5">
        <v>41</v>
      </c>
      <c r="I28" s="5">
        <v>88.7</v>
      </c>
      <c r="J28" s="5">
        <v>11.5</v>
      </c>
      <c r="K28" s="6">
        <f t="shared" si="0"/>
        <v>0.32396258564423797</v>
      </c>
      <c r="L28" s="6">
        <f t="shared" si="1"/>
        <v>0.19538668198795106</v>
      </c>
    </row>
  </sheetData>
  <mergeCells count="2">
    <mergeCell ref="E1:G1"/>
    <mergeCell ref="H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84CA3-7DE5-4F44-A6ED-9F50CB6DB312}">
  <dimension ref="A1:I54"/>
  <sheetViews>
    <sheetView zoomScale="167" workbookViewId="0">
      <pane ySplit="1" topLeftCell="A24" activePane="bottomLeft" state="frozen"/>
      <selection pane="bottomLeft" activeCell="A28" sqref="A28:XFD28"/>
    </sheetView>
  </sheetViews>
  <sheetFormatPr baseColWidth="10" defaultRowHeight="16" x14ac:dyDescent="0.2"/>
  <cols>
    <col min="1" max="16384" width="10.83203125" style="5"/>
  </cols>
  <sheetData>
    <row r="1" spans="1:8" ht="114" customHeight="1" x14ac:dyDescent="0.2">
      <c r="A1" s="4" t="s">
        <v>419</v>
      </c>
      <c r="B1" s="4" t="s">
        <v>657</v>
      </c>
      <c r="C1" s="4" t="s">
        <v>407</v>
      </c>
      <c r="D1" s="7" t="s">
        <v>725</v>
      </c>
      <c r="E1" s="8" t="s">
        <v>726</v>
      </c>
      <c r="F1" s="8" t="s">
        <v>727</v>
      </c>
      <c r="G1" s="8" t="s">
        <v>728</v>
      </c>
      <c r="H1" s="5" t="s">
        <v>730</v>
      </c>
    </row>
    <row r="2" spans="1:8" ht="34" x14ac:dyDescent="0.2">
      <c r="A2" s="4">
        <v>1</v>
      </c>
      <c r="B2" s="4" t="s">
        <v>418</v>
      </c>
      <c r="C2" s="4">
        <v>2009</v>
      </c>
      <c r="D2" s="5">
        <v>1</v>
      </c>
      <c r="E2" s="5">
        <v>1</v>
      </c>
      <c r="F2" s="5">
        <v>1</v>
      </c>
      <c r="G2" s="5">
        <v>2</v>
      </c>
      <c r="H2" s="5">
        <f t="shared" ref="H2:H33" si="0">D2+E2+F2+G2</f>
        <v>5</v>
      </c>
    </row>
    <row r="3" spans="1:8" ht="34" x14ac:dyDescent="0.2">
      <c r="A3" s="4">
        <v>1</v>
      </c>
      <c r="B3" s="4" t="s">
        <v>413</v>
      </c>
      <c r="C3" s="4">
        <v>2004</v>
      </c>
      <c r="D3" s="5">
        <v>2</v>
      </c>
      <c r="E3" s="5">
        <v>1</v>
      </c>
      <c r="F3" s="5">
        <v>1</v>
      </c>
      <c r="G3" s="5">
        <v>2</v>
      </c>
      <c r="H3" s="5">
        <f t="shared" si="0"/>
        <v>6</v>
      </c>
    </row>
    <row r="4" spans="1:8" ht="34" x14ac:dyDescent="0.2">
      <c r="A4" s="4">
        <v>1</v>
      </c>
      <c r="B4" s="4" t="s">
        <v>413</v>
      </c>
      <c r="C4" s="4">
        <v>2008</v>
      </c>
      <c r="D4" s="5">
        <v>2</v>
      </c>
      <c r="E4" s="5">
        <v>1</v>
      </c>
      <c r="F4" s="5">
        <v>1</v>
      </c>
      <c r="G4" s="5">
        <v>2</v>
      </c>
      <c r="H4" s="5">
        <f t="shared" si="0"/>
        <v>6</v>
      </c>
    </row>
    <row r="5" spans="1:8" ht="17" x14ac:dyDescent="0.2">
      <c r="A5" s="4">
        <v>2</v>
      </c>
      <c r="B5" s="4" t="s">
        <v>420</v>
      </c>
      <c r="C5" s="4">
        <v>2017</v>
      </c>
      <c r="D5" s="5">
        <v>2</v>
      </c>
      <c r="E5" s="5">
        <v>3</v>
      </c>
      <c r="F5" s="5">
        <v>2</v>
      </c>
      <c r="G5" s="5">
        <v>3</v>
      </c>
      <c r="H5" s="5">
        <f t="shared" si="0"/>
        <v>10</v>
      </c>
    </row>
    <row r="6" spans="1:8" ht="17" x14ac:dyDescent="0.2">
      <c r="A6" s="4">
        <v>3</v>
      </c>
      <c r="B6" s="4" t="s">
        <v>426</v>
      </c>
      <c r="C6" s="4">
        <v>2021</v>
      </c>
      <c r="D6" s="5">
        <v>3</v>
      </c>
      <c r="E6" s="5">
        <v>3</v>
      </c>
      <c r="F6" s="5">
        <v>2</v>
      </c>
      <c r="G6" s="5">
        <v>2</v>
      </c>
      <c r="H6" s="5">
        <f t="shared" si="0"/>
        <v>10</v>
      </c>
    </row>
    <row r="7" spans="1:8" ht="34" x14ac:dyDescent="0.2">
      <c r="A7" s="4">
        <v>4</v>
      </c>
      <c r="B7" s="4" t="s">
        <v>432</v>
      </c>
      <c r="C7" s="4">
        <v>2012</v>
      </c>
      <c r="D7" s="5">
        <v>3</v>
      </c>
      <c r="E7" s="5">
        <v>1</v>
      </c>
      <c r="F7" s="5">
        <v>1</v>
      </c>
      <c r="G7" s="5">
        <v>3</v>
      </c>
      <c r="H7" s="5">
        <f t="shared" si="0"/>
        <v>8</v>
      </c>
    </row>
    <row r="8" spans="1:8" ht="17" x14ac:dyDescent="0.2">
      <c r="A8" s="4">
        <v>4</v>
      </c>
      <c r="B8" s="4" t="s">
        <v>434</v>
      </c>
      <c r="C8" s="4">
        <v>2014</v>
      </c>
      <c r="D8" s="5">
        <v>2</v>
      </c>
      <c r="E8" s="5">
        <v>3</v>
      </c>
      <c r="F8" s="5">
        <v>2</v>
      </c>
      <c r="G8" s="5">
        <v>3</v>
      </c>
      <c r="H8" s="5">
        <f t="shared" si="0"/>
        <v>10</v>
      </c>
    </row>
    <row r="9" spans="1:8" ht="34" x14ac:dyDescent="0.2">
      <c r="A9" s="4">
        <v>6</v>
      </c>
      <c r="B9" s="4" t="s">
        <v>441</v>
      </c>
      <c r="C9" s="4">
        <v>2017</v>
      </c>
      <c r="D9" s="5">
        <v>2</v>
      </c>
      <c r="E9" s="5">
        <v>1</v>
      </c>
      <c r="F9" s="5">
        <v>1</v>
      </c>
      <c r="G9" s="5">
        <v>3</v>
      </c>
      <c r="H9" s="5">
        <f t="shared" si="0"/>
        <v>7</v>
      </c>
    </row>
    <row r="10" spans="1:8" ht="34" x14ac:dyDescent="0.2">
      <c r="A10" s="4">
        <v>6</v>
      </c>
      <c r="B10" s="4" t="s">
        <v>441</v>
      </c>
      <c r="C10" s="4">
        <v>2021</v>
      </c>
      <c r="D10" s="5">
        <v>2</v>
      </c>
      <c r="E10" s="5">
        <v>3</v>
      </c>
      <c r="F10" s="5">
        <v>3</v>
      </c>
      <c r="G10" s="5">
        <v>3</v>
      </c>
      <c r="H10" s="5">
        <f t="shared" si="0"/>
        <v>11</v>
      </c>
    </row>
    <row r="11" spans="1:8" ht="34" x14ac:dyDescent="0.2">
      <c r="A11" s="4">
        <v>6</v>
      </c>
      <c r="B11" s="4" t="s">
        <v>457</v>
      </c>
      <c r="C11" s="4">
        <v>2020</v>
      </c>
      <c r="D11" s="5">
        <v>3</v>
      </c>
      <c r="E11" s="5">
        <v>3</v>
      </c>
      <c r="F11" s="5">
        <v>2</v>
      </c>
      <c r="G11" s="5">
        <v>3</v>
      </c>
      <c r="H11" s="5">
        <f t="shared" si="0"/>
        <v>11</v>
      </c>
    </row>
    <row r="12" spans="1:8" ht="34" x14ac:dyDescent="0.2">
      <c r="A12" s="4">
        <v>7</v>
      </c>
      <c r="B12" s="4" t="s">
        <v>466</v>
      </c>
      <c r="C12" s="4">
        <v>2021</v>
      </c>
      <c r="D12" s="5">
        <v>3</v>
      </c>
      <c r="E12" s="5">
        <v>3</v>
      </c>
      <c r="F12" s="5">
        <v>3</v>
      </c>
      <c r="G12" s="5">
        <v>3</v>
      </c>
      <c r="H12" s="5">
        <f t="shared" si="0"/>
        <v>12</v>
      </c>
    </row>
    <row r="13" spans="1:8" ht="34" x14ac:dyDescent="0.2">
      <c r="A13" s="4">
        <v>8</v>
      </c>
      <c r="B13" s="4" t="s">
        <v>473</v>
      </c>
      <c r="C13" s="4">
        <v>2015</v>
      </c>
      <c r="D13" s="5">
        <v>1</v>
      </c>
      <c r="E13" s="5">
        <v>3</v>
      </c>
      <c r="F13" s="5">
        <v>2</v>
      </c>
      <c r="G13" s="5">
        <v>2</v>
      </c>
      <c r="H13" s="5">
        <f t="shared" si="0"/>
        <v>8</v>
      </c>
    </row>
    <row r="14" spans="1:8" ht="17" x14ac:dyDescent="0.2">
      <c r="A14" s="4">
        <v>9</v>
      </c>
      <c r="B14" s="4" t="s">
        <v>478</v>
      </c>
      <c r="C14" s="4">
        <v>2015</v>
      </c>
      <c r="D14" s="5">
        <v>1</v>
      </c>
      <c r="E14" s="5">
        <v>3</v>
      </c>
      <c r="F14" s="5">
        <v>1</v>
      </c>
      <c r="G14" s="5">
        <v>3</v>
      </c>
      <c r="H14" s="5">
        <f t="shared" si="0"/>
        <v>8</v>
      </c>
    </row>
    <row r="15" spans="1:8" ht="34" x14ac:dyDescent="0.2">
      <c r="A15" s="4">
        <v>10</v>
      </c>
      <c r="B15" s="4" t="s">
        <v>486</v>
      </c>
      <c r="C15" s="4">
        <v>2015</v>
      </c>
      <c r="D15" s="5">
        <v>1</v>
      </c>
      <c r="E15" s="5">
        <v>3</v>
      </c>
      <c r="F15" s="5">
        <v>2</v>
      </c>
      <c r="G15" s="5">
        <v>3</v>
      </c>
      <c r="H15" s="5">
        <f t="shared" si="0"/>
        <v>9</v>
      </c>
    </row>
    <row r="16" spans="1:8" ht="17" x14ac:dyDescent="0.2">
      <c r="A16" s="4">
        <v>11</v>
      </c>
      <c r="B16" s="4" t="s">
        <v>495</v>
      </c>
      <c r="C16" s="4">
        <v>2016</v>
      </c>
      <c r="D16" s="5">
        <v>2</v>
      </c>
      <c r="E16" s="5">
        <v>1</v>
      </c>
      <c r="F16" s="5">
        <v>1</v>
      </c>
      <c r="G16" s="5">
        <v>3</v>
      </c>
      <c r="H16" s="5">
        <f t="shared" si="0"/>
        <v>7</v>
      </c>
    </row>
    <row r="17" spans="1:9" ht="34" x14ac:dyDescent="0.2">
      <c r="A17" s="4">
        <v>13</v>
      </c>
      <c r="B17" s="4" t="s">
        <v>496</v>
      </c>
      <c r="C17" s="4">
        <v>2016</v>
      </c>
      <c r="D17" s="5">
        <v>1</v>
      </c>
      <c r="E17" s="5">
        <v>1</v>
      </c>
      <c r="F17" s="5">
        <v>1</v>
      </c>
      <c r="G17" s="5">
        <v>1</v>
      </c>
      <c r="H17" s="5">
        <f t="shared" si="0"/>
        <v>4</v>
      </c>
    </row>
    <row r="18" spans="1:9" ht="34" x14ac:dyDescent="0.2">
      <c r="A18" s="4">
        <v>14</v>
      </c>
      <c r="B18" s="4" t="s">
        <v>500</v>
      </c>
      <c r="C18" s="4">
        <v>2016</v>
      </c>
      <c r="D18" s="5">
        <v>1</v>
      </c>
      <c r="E18" s="5">
        <v>1</v>
      </c>
      <c r="F18" s="5">
        <v>2</v>
      </c>
      <c r="G18" s="5">
        <v>3</v>
      </c>
      <c r="H18" s="5">
        <f t="shared" si="0"/>
        <v>7</v>
      </c>
    </row>
    <row r="19" spans="1:9" ht="34" x14ac:dyDescent="0.2">
      <c r="A19" s="4">
        <v>14</v>
      </c>
      <c r="B19" s="4" t="s">
        <v>500</v>
      </c>
      <c r="C19" s="4">
        <v>2020</v>
      </c>
      <c r="D19" s="5">
        <v>2</v>
      </c>
      <c r="E19" s="5">
        <v>1</v>
      </c>
      <c r="F19" s="5">
        <v>1</v>
      </c>
      <c r="G19" s="5">
        <v>3</v>
      </c>
      <c r="H19" s="5">
        <f t="shared" si="0"/>
        <v>7</v>
      </c>
      <c r="I19" s="5" t="s">
        <v>729</v>
      </c>
    </row>
    <row r="20" spans="1:9" ht="17" x14ac:dyDescent="0.2">
      <c r="A20" s="4">
        <v>16</v>
      </c>
      <c r="B20" s="4" t="s">
        <v>504</v>
      </c>
      <c r="C20" s="4">
        <v>2017</v>
      </c>
      <c r="D20" s="5">
        <v>3</v>
      </c>
      <c r="E20" s="5">
        <v>1</v>
      </c>
      <c r="F20" s="5">
        <v>2</v>
      </c>
      <c r="G20" s="5">
        <v>3</v>
      </c>
      <c r="H20" s="5">
        <f t="shared" si="0"/>
        <v>9</v>
      </c>
    </row>
    <row r="21" spans="1:9" ht="17" x14ac:dyDescent="0.2">
      <c r="A21" s="4">
        <v>17</v>
      </c>
      <c r="B21" s="4" t="s">
        <v>507</v>
      </c>
      <c r="C21" s="4">
        <v>2021</v>
      </c>
      <c r="D21" s="5">
        <v>2</v>
      </c>
      <c r="E21" s="5">
        <v>3</v>
      </c>
      <c r="F21" s="5">
        <v>2</v>
      </c>
      <c r="G21" s="5">
        <v>3</v>
      </c>
      <c r="H21" s="5">
        <f t="shared" si="0"/>
        <v>10</v>
      </c>
    </row>
    <row r="22" spans="1:9" ht="17" x14ac:dyDescent="0.2">
      <c r="A22" s="4">
        <v>17</v>
      </c>
      <c r="B22" s="4" t="s">
        <v>507</v>
      </c>
      <c r="C22" s="4">
        <v>2021</v>
      </c>
      <c r="D22" s="5">
        <v>3</v>
      </c>
      <c r="E22" s="5">
        <v>3</v>
      </c>
      <c r="F22" s="5">
        <v>2</v>
      </c>
      <c r="G22" s="5">
        <v>3</v>
      </c>
      <c r="H22" s="5">
        <f t="shared" si="0"/>
        <v>11</v>
      </c>
    </row>
    <row r="23" spans="1:9" ht="17" x14ac:dyDescent="0.2">
      <c r="A23" s="4">
        <v>19</v>
      </c>
      <c r="B23" s="4" t="s">
        <v>514</v>
      </c>
      <c r="C23" s="4">
        <v>2017</v>
      </c>
      <c r="D23" s="5">
        <v>1</v>
      </c>
      <c r="E23" s="5">
        <v>1</v>
      </c>
      <c r="F23" s="5">
        <v>2</v>
      </c>
      <c r="G23" s="5">
        <v>3</v>
      </c>
      <c r="H23" s="5">
        <f t="shared" si="0"/>
        <v>7</v>
      </c>
    </row>
    <row r="24" spans="1:9" ht="17" x14ac:dyDescent="0.2">
      <c r="A24" s="4">
        <v>19</v>
      </c>
      <c r="B24" s="4" t="s">
        <v>514</v>
      </c>
      <c r="C24" s="4">
        <v>2018</v>
      </c>
      <c r="D24" s="5">
        <v>1</v>
      </c>
      <c r="E24" s="5">
        <v>1</v>
      </c>
      <c r="F24" s="5">
        <v>2</v>
      </c>
      <c r="G24" s="5">
        <v>3</v>
      </c>
      <c r="H24" s="5">
        <f t="shared" si="0"/>
        <v>7</v>
      </c>
    </row>
    <row r="25" spans="1:9" ht="51" x14ac:dyDescent="0.2">
      <c r="A25" s="4">
        <v>20</v>
      </c>
      <c r="B25" s="4" t="s">
        <v>526</v>
      </c>
      <c r="C25" s="4">
        <v>2018</v>
      </c>
      <c r="D25" s="5">
        <v>3</v>
      </c>
      <c r="E25" s="5">
        <v>2</v>
      </c>
      <c r="F25" s="5">
        <v>3</v>
      </c>
      <c r="G25" s="5">
        <v>2</v>
      </c>
      <c r="H25" s="5">
        <f t="shared" si="0"/>
        <v>10</v>
      </c>
    </row>
    <row r="26" spans="1:9" ht="51" x14ac:dyDescent="0.2">
      <c r="A26" s="4">
        <v>20</v>
      </c>
      <c r="B26" s="4" t="s">
        <v>526</v>
      </c>
      <c r="C26" s="4">
        <v>2018</v>
      </c>
      <c r="D26" s="5">
        <v>3</v>
      </c>
      <c r="E26" s="5">
        <v>2</v>
      </c>
      <c r="F26" s="5">
        <v>3</v>
      </c>
      <c r="G26" s="5">
        <v>3</v>
      </c>
      <c r="H26" s="5">
        <f t="shared" si="0"/>
        <v>11</v>
      </c>
    </row>
    <row r="27" spans="1:9" ht="51" x14ac:dyDescent="0.2">
      <c r="A27" s="4">
        <v>20</v>
      </c>
      <c r="B27" s="4" t="s">
        <v>526</v>
      </c>
      <c r="C27" s="4">
        <v>2019</v>
      </c>
      <c r="D27" s="5">
        <v>3</v>
      </c>
      <c r="E27" s="5">
        <v>2</v>
      </c>
      <c r="F27" s="5">
        <v>3</v>
      </c>
      <c r="G27" s="5">
        <v>3</v>
      </c>
      <c r="H27" s="5">
        <f t="shared" si="0"/>
        <v>11</v>
      </c>
    </row>
    <row r="28" spans="1:9" ht="51" x14ac:dyDescent="0.2">
      <c r="A28" s="4">
        <v>20</v>
      </c>
      <c r="B28" s="4" t="s">
        <v>526</v>
      </c>
      <c r="C28" s="4">
        <v>2022</v>
      </c>
      <c r="D28" s="5">
        <v>3</v>
      </c>
      <c r="E28" s="5">
        <v>3</v>
      </c>
      <c r="F28" s="5">
        <v>3</v>
      </c>
      <c r="G28" s="5">
        <v>2</v>
      </c>
      <c r="H28" s="5">
        <f t="shared" si="0"/>
        <v>11</v>
      </c>
    </row>
    <row r="29" spans="1:9" ht="17" x14ac:dyDescent="0.2">
      <c r="A29" s="4">
        <v>21</v>
      </c>
      <c r="B29" s="4" t="s">
        <v>548</v>
      </c>
      <c r="C29" s="4">
        <v>2018</v>
      </c>
      <c r="D29" s="5">
        <v>2</v>
      </c>
      <c r="E29" s="5">
        <v>1</v>
      </c>
      <c r="F29" s="5">
        <v>1</v>
      </c>
      <c r="G29" s="5">
        <v>2</v>
      </c>
      <c r="H29" s="5">
        <f t="shared" si="0"/>
        <v>6</v>
      </c>
    </row>
    <row r="30" spans="1:9" ht="17" x14ac:dyDescent="0.2">
      <c r="A30" s="4">
        <v>21</v>
      </c>
      <c r="B30" s="4" t="s">
        <v>548</v>
      </c>
      <c r="C30" s="4">
        <v>2019</v>
      </c>
      <c r="D30" s="5">
        <v>2</v>
      </c>
      <c r="E30" s="5">
        <v>1</v>
      </c>
      <c r="F30" s="5">
        <v>1</v>
      </c>
      <c r="G30" s="5">
        <v>2</v>
      </c>
      <c r="H30" s="5">
        <f t="shared" si="0"/>
        <v>6</v>
      </c>
    </row>
    <row r="31" spans="1:9" ht="17" x14ac:dyDescent="0.2">
      <c r="A31" s="4">
        <v>22</v>
      </c>
      <c r="B31" s="4" t="s">
        <v>551</v>
      </c>
      <c r="C31" s="4">
        <v>2018</v>
      </c>
      <c r="D31" s="5">
        <v>2</v>
      </c>
      <c r="E31" s="5">
        <v>3</v>
      </c>
      <c r="F31" s="5">
        <v>2</v>
      </c>
      <c r="G31" s="5">
        <v>2</v>
      </c>
      <c r="H31" s="5">
        <f t="shared" si="0"/>
        <v>9</v>
      </c>
    </row>
    <row r="32" spans="1:9" ht="34" x14ac:dyDescent="0.2">
      <c r="A32" s="4">
        <v>24</v>
      </c>
      <c r="B32" s="4" t="s">
        <v>554</v>
      </c>
      <c r="C32" s="4">
        <v>2019</v>
      </c>
      <c r="D32" s="5">
        <v>1</v>
      </c>
      <c r="E32" s="5">
        <v>1</v>
      </c>
      <c r="F32" s="5">
        <v>2</v>
      </c>
      <c r="G32" s="5">
        <v>2</v>
      </c>
      <c r="H32" s="5">
        <f t="shared" si="0"/>
        <v>6</v>
      </c>
    </row>
    <row r="33" spans="1:8" ht="17" x14ac:dyDescent="0.2">
      <c r="A33" s="4">
        <v>25</v>
      </c>
      <c r="B33" s="4" t="s">
        <v>556</v>
      </c>
      <c r="C33" s="4">
        <v>2019</v>
      </c>
      <c r="D33" s="5">
        <v>2</v>
      </c>
      <c r="E33" s="5">
        <v>1</v>
      </c>
      <c r="F33" s="5">
        <v>2</v>
      </c>
      <c r="G33" s="5">
        <v>3</v>
      </c>
      <c r="H33" s="5">
        <f t="shared" si="0"/>
        <v>8</v>
      </c>
    </row>
    <row r="34" spans="1:8" ht="34" x14ac:dyDescent="0.2">
      <c r="A34" s="4">
        <v>28</v>
      </c>
      <c r="B34" s="4" t="s">
        <v>563</v>
      </c>
      <c r="C34" s="4">
        <v>2020</v>
      </c>
      <c r="D34" s="5">
        <v>2</v>
      </c>
      <c r="E34" s="5">
        <v>1</v>
      </c>
      <c r="F34" s="5">
        <v>1</v>
      </c>
      <c r="G34" s="5">
        <v>3</v>
      </c>
      <c r="H34" s="5">
        <f t="shared" ref="H34:H52" si="1">D34+E34+F34+G34</f>
        <v>7</v>
      </c>
    </row>
    <row r="35" spans="1:8" ht="17" x14ac:dyDescent="0.2">
      <c r="A35" s="4">
        <v>29</v>
      </c>
      <c r="B35" s="4" t="s">
        <v>567</v>
      </c>
      <c r="C35" s="4">
        <v>2021</v>
      </c>
      <c r="D35" s="5">
        <v>2</v>
      </c>
      <c r="E35" s="5">
        <v>1</v>
      </c>
      <c r="F35" s="5">
        <v>3</v>
      </c>
      <c r="G35" s="5">
        <v>3</v>
      </c>
      <c r="H35" s="5">
        <f t="shared" si="1"/>
        <v>9</v>
      </c>
    </row>
    <row r="36" spans="1:8" ht="34" x14ac:dyDescent="0.2">
      <c r="A36" s="4">
        <v>30</v>
      </c>
      <c r="B36" s="4" t="s">
        <v>570</v>
      </c>
      <c r="C36" s="4">
        <v>2021</v>
      </c>
      <c r="D36" s="5">
        <v>1</v>
      </c>
      <c r="E36" s="5">
        <v>3</v>
      </c>
      <c r="F36" s="5">
        <v>2</v>
      </c>
      <c r="G36" s="5">
        <v>3</v>
      </c>
      <c r="H36" s="5">
        <f t="shared" si="1"/>
        <v>9</v>
      </c>
    </row>
    <row r="37" spans="1:8" ht="17" x14ac:dyDescent="0.2">
      <c r="A37" s="4">
        <v>30</v>
      </c>
      <c r="B37" s="4" t="s">
        <v>592</v>
      </c>
      <c r="C37" s="4">
        <v>2021</v>
      </c>
      <c r="D37" s="5">
        <v>2</v>
      </c>
      <c r="E37" s="5">
        <v>2</v>
      </c>
      <c r="F37" s="5">
        <v>2</v>
      </c>
      <c r="G37" s="5">
        <v>3</v>
      </c>
      <c r="H37" s="5">
        <f t="shared" si="1"/>
        <v>9</v>
      </c>
    </row>
    <row r="38" spans="1:8" ht="34" x14ac:dyDescent="0.2">
      <c r="A38" s="4">
        <v>30</v>
      </c>
      <c r="B38" s="4" t="s">
        <v>584</v>
      </c>
      <c r="C38" s="4">
        <v>2020</v>
      </c>
      <c r="D38" s="5">
        <v>2</v>
      </c>
      <c r="E38" s="5">
        <v>3</v>
      </c>
      <c r="F38" s="5">
        <v>2</v>
      </c>
      <c r="G38" s="5">
        <v>3</v>
      </c>
      <c r="H38" s="5">
        <f t="shared" si="1"/>
        <v>10</v>
      </c>
    </row>
    <row r="39" spans="1:8" ht="17" x14ac:dyDescent="0.2">
      <c r="A39" s="4">
        <v>30</v>
      </c>
      <c r="B39" s="4" t="s">
        <v>577</v>
      </c>
      <c r="C39" s="4">
        <v>2020</v>
      </c>
      <c r="D39" s="5">
        <v>2</v>
      </c>
      <c r="E39" s="5">
        <v>3</v>
      </c>
      <c r="F39" s="5">
        <v>3</v>
      </c>
      <c r="G39" s="5">
        <v>3</v>
      </c>
      <c r="H39" s="5">
        <f t="shared" si="1"/>
        <v>11</v>
      </c>
    </row>
    <row r="40" spans="1:8" ht="17" x14ac:dyDescent="0.2">
      <c r="A40" s="4">
        <v>32</v>
      </c>
      <c r="B40" s="4" t="s">
        <v>599</v>
      </c>
      <c r="C40" s="4">
        <v>2021</v>
      </c>
      <c r="D40" s="5">
        <v>2</v>
      </c>
      <c r="E40" s="5">
        <v>1</v>
      </c>
      <c r="F40" s="5">
        <v>1</v>
      </c>
      <c r="G40" s="5">
        <v>2</v>
      </c>
      <c r="H40" s="5">
        <f t="shared" si="1"/>
        <v>6</v>
      </c>
    </row>
    <row r="41" spans="1:8" ht="18" customHeight="1" x14ac:dyDescent="0.2">
      <c r="A41" s="5">
        <v>33</v>
      </c>
      <c r="B41" s="5" t="s">
        <v>600</v>
      </c>
      <c r="C41" s="5">
        <v>2023</v>
      </c>
      <c r="D41" s="5">
        <v>1</v>
      </c>
      <c r="E41" s="5">
        <v>1</v>
      </c>
      <c r="F41" s="5">
        <v>1</v>
      </c>
      <c r="G41" s="5">
        <v>3</v>
      </c>
      <c r="H41" s="5">
        <f t="shared" si="1"/>
        <v>6</v>
      </c>
    </row>
    <row r="42" spans="1:8" ht="17" x14ac:dyDescent="0.2">
      <c r="A42" s="5">
        <v>33</v>
      </c>
      <c r="B42" s="5" t="s">
        <v>600</v>
      </c>
      <c r="C42" s="5">
        <v>2022</v>
      </c>
      <c r="D42" s="5">
        <v>2</v>
      </c>
      <c r="E42" s="5">
        <v>2</v>
      </c>
      <c r="F42" s="5">
        <v>2</v>
      </c>
      <c r="G42" s="5">
        <v>3</v>
      </c>
      <c r="H42" s="5">
        <f t="shared" si="1"/>
        <v>9</v>
      </c>
    </row>
    <row r="43" spans="1:8" ht="17" x14ac:dyDescent="0.2">
      <c r="A43" s="5">
        <v>35</v>
      </c>
      <c r="B43" s="5" t="s">
        <v>608</v>
      </c>
      <c r="C43" s="5">
        <v>2022</v>
      </c>
      <c r="D43" s="5">
        <v>1</v>
      </c>
      <c r="E43" s="5">
        <v>1</v>
      </c>
      <c r="F43" s="5">
        <v>2</v>
      </c>
      <c r="G43" s="5">
        <v>3</v>
      </c>
      <c r="H43" s="5">
        <f t="shared" si="1"/>
        <v>7</v>
      </c>
    </row>
    <row r="44" spans="1:8" ht="34" x14ac:dyDescent="0.2">
      <c r="A44" s="5">
        <v>36</v>
      </c>
      <c r="B44" s="5" t="s">
        <v>615</v>
      </c>
      <c r="C44" s="5">
        <v>2021</v>
      </c>
      <c r="D44" s="5">
        <v>3</v>
      </c>
      <c r="E44" s="5">
        <v>3</v>
      </c>
      <c r="F44" s="5">
        <v>2</v>
      </c>
      <c r="G44" s="5">
        <v>1</v>
      </c>
      <c r="H44" s="5">
        <f t="shared" si="1"/>
        <v>9</v>
      </c>
    </row>
    <row r="45" spans="1:8" ht="34" x14ac:dyDescent="0.2">
      <c r="A45" s="5">
        <v>36</v>
      </c>
      <c r="B45" s="5" t="s">
        <v>619</v>
      </c>
      <c r="C45" s="5">
        <v>2021</v>
      </c>
      <c r="D45" s="5">
        <v>3</v>
      </c>
      <c r="E45" s="5">
        <v>3</v>
      </c>
      <c r="F45" s="5">
        <v>2</v>
      </c>
      <c r="G45" s="5">
        <v>1</v>
      </c>
      <c r="H45" s="5">
        <f t="shared" si="1"/>
        <v>9</v>
      </c>
    </row>
    <row r="46" spans="1:8" ht="34" x14ac:dyDescent="0.2">
      <c r="A46" s="5">
        <v>39</v>
      </c>
      <c r="B46" s="5" t="s">
        <v>626</v>
      </c>
      <c r="C46" s="5">
        <v>2019</v>
      </c>
      <c r="D46" s="5">
        <v>1</v>
      </c>
      <c r="E46" s="5">
        <v>1</v>
      </c>
      <c r="F46" s="5">
        <v>1</v>
      </c>
      <c r="G46" s="5">
        <v>2</v>
      </c>
      <c r="H46" s="5">
        <f t="shared" si="1"/>
        <v>5</v>
      </c>
    </row>
    <row r="47" spans="1:8" ht="34" x14ac:dyDescent="0.2">
      <c r="A47" s="5">
        <v>44</v>
      </c>
      <c r="B47" s="5" t="s">
        <v>628</v>
      </c>
      <c r="C47" s="5">
        <v>2024</v>
      </c>
      <c r="D47" s="5">
        <v>1</v>
      </c>
      <c r="E47" s="5">
        <v>2</v>
      </c>
      <c r="F47" s="5">
        <v>2</v>
      </c>
      <c r="G47" s="5">
        <v>3</v>
      </c>
      <c r="H47" s="5">
        <f t="shared" si="1"/>
        <v>8</v>
      </c>
    </row>
    <row r="48" spans="1:8" ht="17" x14ac:dyDescent="0.2">
      <c r="A48" s="5">
        <v>45</v>
      </c>
      <c r="B48" s="5" t="s">
        <v>567</v>
      </c>
      <c r="C48" s="5">
        <v>2015</v>
      </c>
      <c r="D48" s="5">
        <v>2</v>
      </c>
      <c r="E48" s="5">
        <v>1</v>
      </c>
      <c r="F48" s="5">
        <v>2</v>
      </c>
      <c r="G48" s="5">
        <v>2</v>
      </c>
      <c r="H48" s="5">
        <f t="shared" si="1"/>
        <v>7</v>
      </c>
    </row>
    <row r="49" spans="1:8" ht="17" x14ac:dyDescent="0.2">
      <c r="A49" s="5">
        <v>46</v>
      </c>
      <c r="B49" s="5" t="s">
        <v>630</v>
      </c>
      <c r="C49" s="5">
        <v>2016</v>
      </c>
      <c r="D49" s="5">
        <v>1</v>
      </c>
      <c r="E49" s="5">
        <v>1</v>
      </c>
      <c r="F49" s="5">
        <v>2</v>
      </c>
      <c r="G49" s="5">
        <v>2</v>
      </c>
      <c r="H49" s="5">
        <f t="shared" si="1"/>
        <v>6</v>
      </c>
    </row>
    <row r="50" spans="1:8" ht="34" x14ac:dyDescent="0.2">
      <c r="A50" s="5">
        <v>47</v>
      </c>
      <c r="B50" s="5" t="s">
        <v>634</v>
      </c>
      <c r="C50" s="5">
        <v>2014</v>
      </c>
      <c r="D50" s="5">
        <v>1</v>
      </c>
      <c r="E50" s="5">
        <v>3</v>
      </c>
      <c r="F50" s="5">
        <v>1</v>
      </c>
      <c r="G50" s="5">
        <v>1</v>
      </c>
      <c r="H50" s="5">
        <f t="shared" si="1"/>
        <v>6</v>
      </c>
    </row>
    <row r="51" spans="1:8" ht="17" x14ac:dyDescent="0.2">
      <c r="A51" s="5">
        <v>48</v>
      </c>
      <c r="B51" s="5" t="s">
        <v>650</v>
      </c>
      <c r="C51" s="5">
        <v>2015</v>
      </c>
      <c r="D51" s="5">
        <v>2</v>
      </c>
      <c r="E51" s="5">
        <v>3</v>
      </c>
      <c r="F51" s="5">
        <v>3</v>
      </c>
      <c r="G51" s="5">
        <v>3</v>
      </c>
      <c r="H51" s="5">
        <f t="shared" si="1"/>
        <v>11</v>
      </c>
    </row>
    <row r="54" spans="1:8" ht="17" x14ac:dyDescent="0.2">
      <c r="B54" s="5" t="s">
        <v>731</v>
      </c>
      <c r="C54" s="5" t="s">
        <v>732</v>
      </c>
      <c r="D54" s="5" t="s">
        <v>733</v>
      </c>
    </row>
  </sheetData>
  <autoFilter ref="A1:I1" xr:uid="{5EA84CA3-7DE5-4F44-A6ED-9F50CB6DB312}">
    <sortState xmlns:xlrd2="http://schemas.microsoft.com/office/spreadsheetml/2017/richdata2" ref="A2:I52">
      <sortCondition ref="A1:A52"/>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C6D1-CCB0-C64E-B8F0-7AA720CAF21E}">
  <dimension ref="A1:H32"/>
  <sheetViews>
    <sheetView topLeftCell="A5" zoomScale="143" workbookViewId="0">
      <selection activeCell="J15" sqref="J15"/>
    </sheetView>
  </sheetViews>
  <sheetFormatPr baseColWidth="10" defaultRowHeight="16" x14ac:dyDescent="0.2"/>
  <sheetData>
    <row r="1" spans="1:8" ht="105" x14ac:dyDescent="0.2">
      <c r="A1" s="4" t="s">
        <v>419</v>
      </c>
      <c r="B1" s="4" t="s">
        <v>657</v>
      </c>
      <c r="C1" s="4" t="s">
        <v>407</v>
      </c>
      <c r="D1" s="7" t="s">
        <v>725</v>
      </c>
      <c r="E1" s="8" t="s">
        <v>726</v>
      </c>
      <c r="F1" s="8" t="s">
        <v>727</v>
      </c>
      <c r="G1" s="8" t="s">
        <v>728</v>
      </c>
      <c r="H1" s="5" t="s">
        <v>730</v>
      </c>
    </row>
    <row r="2" spans="1:8" ht="17" x14ac:dyDescent="0.2">
      <c r="A2" s="4">
        <v>2</v>
      </c>
      <c r="B2" s="4" t="s">
        <v>420</v>
      </c>
      <c r="C2" s="4">
        <v>2017</v>
      </c>
      <c r="D2" s="5">
        <v>2</v>
      </c>
      <c r="E2" s="5">
        <v>3</v>
      </c>
      <c r="F2" s="5">
        <v>2</v>
      </c>
      <c r="G2" s="5">
        <v>3</v>
      </c>
      <c r="H2" s="5">
        <f t="shared" ref="H2:H18" si="0">D2+E2+F2+G2</f>
        <v>10</v>
      </c>
    </row>
    <row r="3" spans="1:8" ht="17" x14ac:dyDescent="0.2">
      <c r="A3" s="4">
        <v>3</v>
      </c>
      <c r="B3" s="4" t="s">
        <v>426</v>
      </c>
      <c r="C3" s="4">
        <v>2021</v>
      </c>
      <c r="D3" s="5">
        <v>3</v>
      </c>
      <c r="E3" s="5">
        <v>3</v>
      </c>
      <c r="F3" s="5">
        <v>2</v>
      </c>
      <c r="G3" s="5">
        <v>2</v>
      </c>
      <c r="H3" s="5">
        <f t="shared" si="0"/>
        <v>10</v>
      </c>
    </row>
    <row r="4" spans="1:8" ht="34" x14ac:dyDescent="0.2">
      <c r="A4" s="4">
        <v>4</v>
      </c>
      <c r="B4" s="4" t="s">
        <v>432</v>
      </c>
      <c r="C4" s="4">
        <v>2012</v>
      </c>
      <c r="D4" s="5">
        <v>3</v>
      </c>
      <c r="E4" s="5">
        <v>1</v>
      </c>
      <c r="F4" s="5">
        <v>1</v>
      </c>
      <c r="G4" s="5">
        <v>3</v>
      </c>
      <c r="H4" s="5">
        <f t="shared" si="0"/>
        <v>8</v>
      </c>
    </row>
    <row r="5" spans="1:8" ht="17" x14ac:dyDescent="0.2">
      <c r="A5" s="4">
        <v>4</v>
      </c>
      <c r="B5" s="4" t="s">
        <v>434</v>
      </c>
      <c r="C5" s="4">
        <v>2014</v>
      </c>
      <c r="D5" s="5">
        <v>2</v>
      </c>
      <c r="E5" s="5">
        <v>3</v>
      </c>
      <c r="F5" s="5">
        <v>2</v>
      </c>
      <c r="G5" s="5">
        <v>3</v>
      </c>
      <c r="H5" s="5">
        <f t="shared" si="0"/>
        <v>10</v>
      </c>
    </row>
    <row r="6" spans="1:8" ht="34" x14ac:dyDescent="0.2">
      <c r="A6" s="4">
        <v>6</v>
      </c>
      <c r="B6" s="4" t="s">
        <v>441</v>
      </c>
      <c r="C6" s="4">
        <v>2017</v>
      </c>
      <c r="D6" s="5">
        <v>2</v>
      </c>
      <c r="E6" s="5">
        <v>1</v>
      </c>
      <c r="F6" s="5">
        <v>1</v>
      </c>
      <c r="G6" s="5">
        <v>3</v>
      </c>
      <c r="H6" s="5">
        <f t="shared" si="0"/>
        <v>7</v>
      </c>
    </row>
    <row r="7" spans="1:8" ht="34" x14ac:dyDescent="0.2">
      <c r="A7" s="4">
        <v>6</v>
      </c>
      <c r="B7" s="4" t="s">
        <v>441</v>
      </c>
      <c r="C7" s="4">
        <v>2021</v>
      </c>
      <c r="D7" s="5">
        <v>2</v>
      </c>
      <c r="E7" s="5">
        <v>3</v>
      </c>
      <c r="F7" s="5">
        <v>3</v>
      </c>
      <c r="G7" s="5">
        <v>3</v>
      </c>
      <c r="H7" s="5">
        <f t="shared" si="0"/>
        <v>11</v>
      </c>
    </row>
    <row r="8" spans="1:8" ht="34" x14ac:dyDescent="0.2">
      <c r="A8" s="4">
        <v>6</v>
      </c>
      <c r="B8" s="4" t="s">
        <v>457</v>
      </c>
      <c r="C8" s="4">
        <v>2020</v>
      </c>
      <c r="D8" s="5">
        <v>3</v>
      </c>
      <c r="E8" s="5">
        <v>3</v>
      </c>
      <c r="F8" s="5">
        <v>2</v>
      </c>
      <c r="G8" s="5">
        <v>3</v>
      </c>
      <c r="H8" s="5">
        <f t="shared" si="0"/>
        <v>11</v>
      </c>
    </row>
    <row r="9" spans="1:8" ht="34" x14ac:dyDescent="0.2">
      <c r="A9" s="4">
        <v>7</v>
      </c>
      <c r="B9" s="4" t="s">
        <v>466</v>
      </c>
      <c r="C9" s="4">
        <v>2021</v>
      </c>
      <c r="D9" s="5">
        <v>3</v>
      </c>
      <c r="E9" s="5">
        <v>3</v>
      </c>
      <c r="F9" s="5">
        <v>3</v>
      </c>
      <c r="G9" s="5">
        <v>3</v>
      </c>
      <c r="H9" s="5">
        <f t="shared" si="0"/>
        <v>12</v>
      </c>
    </row>
    <row r="10" spans="1:8" ht="17" x14ac:dyDescent="0.2">
      <c r="A10" s="4">
        <v>9</v>
      </c>
      <c r="B10" s="4" t="s">
        <v>478</v>
      </c>
      <c r="C10" s="4">
        <v>2015</v>
      </c>
      <c r="D10" s="5">
        <v>1</v>
      </c>
      <c r="E10" s="5">
        <v>3</v>
      </c>
      <c r="F10" s="5">
        <v>1</v>
      </c>
      <c r="G10" s="5">
        <v>3</v>
      </c>
      <c r="H10" s="5">
        <f t="shared" si="0"/>
        <v>8</v>
      </c>
    </row>
    <row r="11" spans="1:8" ht="34" x14ac:dyDescent="0.2">
      <c r="A11" s="4">
        <v>10</v>
      </c>
      <c r="B11" s="4" t="s">
        <v>486</v>
      </c>
      <c r="C11" s="4">
        <v>2015</v>
      </c>
      <c r="D11" s="5">
        <v>1</v>
      </c>
      <c r="E11" s="5">
        <v>3</v>
      </c>
      <c r="F11" s="5">
        <v>2</v>
      </c>
      <c r="G11" s="5">
        <v>3</v>
      </c>
      <c r="H11" s="5">
        <f t="shared" si="0"/>
        <v>9</v>
      </c>
    </row>
    <row r="12" spans="1:8" ht="17" x14ac:dyDescent="0.2">
      <c r="A12" s="4">
        <v>16</v>
      </c>
      <c r="B12" s="4" t="s">
        <v>504</v>
      </c>
      <c r="C12" s="4">
        <v>2017</v>
      </c>
      <c r="D12" s="5">
        <v>3</v>
      </c>
      <c r="E12" s="5">
        <v>1</v>
      </c>
      <c r="F12" s="5">
        <v>2</v>
      </c>
      <c r="G12" s="5">
        <v>3</v>
      </c>
      <c r="H12" s="5">
        <f t="shared" si="0"/>
        <v>9</v>
      </c>
    </row>
    <row r="13" spans="1:8" ht="17" x14ac:dyDescent="0.2">
      <c r="A13" s="4">
        <v>17</v>
      </c>
      <c r="B13" s="4" t="s">
        <v>507</v>
      </c>
      <c r="C13" s="4">
        <v>2021</v>
      </c>
      <c r="D13" s="5">
        <v>2</v>
      </c>
      <c r="E13" s="5">
        <v>3</v>
      </c>
      <c r="F13" s="5">
        <v>2</v>
      </c>
      <c r="G13" s="5">
        <v>3</v>
      </c>
      <c r="H13" s="5">
        <f t="shared" si="0"/>
        <v>10</v>
      </c>
    </row>
    <row r="14" spans="1:8" ht="17" x14ac:dyDescent="0.2">
      <c r="A14" s="4">
        <v>17</v>
      </c>
      <c r="B14" s="4" t="s">
        <v>507</v>
      </c>
      <c r="C14" s="4">
        <v>2021</v>
      </c>
      <c r="D14" s="5">
        <v>3</v>
      </c>
      <c r="E14" s="5">
        <v>3</v>
      </c>
      <c r="F14" s="5">
        <v>2</v>
      </c>
      <c r="G14" s="5">
        <v>3</v>
      </c>
      <c r="H14" s="5">
        <f t="shared" si="0"/>
        <v>11</v>
      </c>
    </row>
    <row r="15" spans="1:8" ht="51" x14ac:dyDescent="0.2">
      <c r="A15" s="4">
        <v>20</v>
      </c>
      <c r="B15" s="4" t="s">
        <v>526</v>
      </c>
      <c r="C15" s="4">
        <v>2018</v>
      </c>
      <c r="D15" s="5">
        <v>3</v>
      </c>
      <c r="E15" s="5">
        <v>2</v>
      </c>
      <c r="F15" s="5">
        <v>3</v>
      </c>
      <c r="G15" s="5">
        <v>2</v>
      </c>
      <c r="H15" s="5">
        <f t="shared" si="0"/>
        <v>10</v>
      </c>
    </row>
    <row r="16" spans="1:8" ht="51" x14ac:dyDescent="0.2">
      <c r="A16" s="4">
        <v>20</v>
      </c>
      <c r="B16" s="4" t="s">
        <v>526</v>
      </c>
      <c r="C16" s="4">
        <v>2018</v>
      </c>
      <c r="D16" s="5">
        <v>3</v>
      </c>
      <c r="E16" s="5">
        <v>2</v>
      </c>
      <c r="F16" s="5">
        <v>3</v>
      </c>
      <c r="G16" s="5">
        <v>3</v>
      </c>
      <c r="H16" s="5">
        <f t="shared" si="0"/>
        <v>11</v>
      </c>
    </row>
    <row r="17" spans="1:8" ht="51" x14ac:dyDescent="0.2">
      <c r="A17" s="4">
        <v>20</v>
      </c>
      <c r="B17" s="4" t="s">
        <v>526</v>
      </c>
      <c r="C17" s="4">
        <v>2019</v>
      </c>
      <c r="D17" s="5">
        <v>3</v>
      </c>
      <c r="E17" s="5">
        <v>2</v>
      </c>
      <c r="F17" s="5">
        <v>3</v>
      </c>
      <c r="G17" s="5">
        <v>3</v>
      </c>
      <c r="H17" s="5">
        <f t="shared" si="0"/>
        <v>11</v>
      </c>
    </row>
    <row r="18" spans="1:8" ht="51" x14ac:dyDescent="0.2">
      <c r="A18" s="4">
        <v>20</v>
      </c>
      <c r="B18" s="4" t="s">
        <v>526</v>
      </c>
      <c r="C18" s="4">
        <v>2022</v>
      </c>
      <c r="D18" s="5">
        <v>3</v>
      </c>
      <c r="E18" s="5">
        <v>3</v>
      </c>
      <c r="F18" s="5">
        <v>3</v>
      </c>
      <c r="G18" s="5">
        <v>2</v>
      </c>
      <c r="H18" s="5">
        <f t="shared" si="0"/>
        <v>11</v>
      </c>
    </row>
    <row r="19" spans="1:8" x14ac:dyDescent="0.2">
      <c r="A19" s="4"/>
      <c r="B19" s="4"/>
      <c r="C19" s="4"/>
      <c r="D19" s="5"/>
      <c r="E19" s="5"/>
      <c r="F19" s="5"/>
      <c r="G19" s="5"/>
      <c r="H19" s="5"/>
    </row>
    <row r="20" spans="1:8" s="5" customFormat="1" ht="17" x14ac:dyDescent="0.2">
      <c r="A20" s="4">
        <v>21</v>
      </c>
      <c r="B20" s="4" t="s">
        <v>548</v>
      </c>
      <c r="C20" s="4">
        <v>2018</v>
      </c>
      <c r="D20" s="5">
        <v>2</v>
      </c>
      <c r="E20" s="5">
        <v>1</v>
      </c>
      <c r="F20" s="5">
        <v>1</v>
      </c>
      <c r="G20" s="5">
        <v>2</v>
      </c>
      <c r="H20" s="5">
        <f t="shared" ref="H20:H32" si="1">D20+E20+F20+G20</f>
        <v>6</v>
      </c>
    </row>
    <row r="21" spans="1:8" s="5" customFormat="1" ht="17" x14ac:dyDescent="0.2">
      <c r="A21" s="4">
        <v>21</v>
      </c>
      <c r="B21" s="4" t="s">
        <v>548</v>
      </c>
      <c r="C21" s="4">
        <v>2019</v>
      </c>
      <c r="D21" s="5">
        <v>2</v>
      </c>
      <c r="E21" s="5">
        <v>1</v>
      </c>
      <c r="F21" s="5">
        <v>1</v>
      </c>
      <c r="G21" s="5">
        <v>2</v>
      </c>
      <c r="H21" s="5">
        <f t="shared" si="1"/>
        <v>6</v>
      </c>
    </row>
    <row r="22" spans="1:8" ht="17" x14ac:dyDescent="0.2">
      <c r="A22" s="4">
        <v>22</v>
      </c>
      <c r="B22" s="4" t="s">
        <v>551</v>
      </c>
      <c r="C22" s="4">
        <v>2018</v>
      </c>
      <c r="D22" s="5">
        <v>2</v>
      </c>
      <c r="E22" s="5">
        <v>3</v>
      </c>
      <c r="F22" s="5">
        <v>2</v>
      </c>
      <c r="G22" s="5">
        <v>2</v>
      </c>
      <c r="H22" s="5">
        <f t="shared" si="1"/>
        <v>9</v>
      </c>
    </row>
    <row r="23" spans="1:8" ht="17" x14ac:dyDescent="0.2">
      <c r="A23" s="4">
        <v>25</v>
      </c>
      <c r="B23" s="4" t="s">
        <v>556</v>
      </c>
      <c r="C23" s="4">
        <v>2019</v>
      </c>
      <c r="D23" s="5">
        <v>2</v>
      </c>
      <c r="E23" s="5">
        <v>1</v>
      </c>
      <c r="F23" s="5">
        <v>2</v>
      </c>
      <c r="G23" s="5">
        <v>3</v>
      </c>
      <c r="H23" s="5">
        <f t="shared" si="1"/>
        <v>8</v>
      </c>
    </row>
    <row r="24" spans="1:8" ht="34" x14ac:dyDescent="0.2">
      <c r="A24" s="4">
        <v>28</v>
      </c>
      <c r="B24" s="4" t="s">
        <v>563</v>
      </c>
      <c r="C24" s="4">
        <v>2020</v>
      </c>
      <c r="D24" s="5">
        <v>2</v>
      </c>
      <c r="E24" s="5">
        <v>1</v>
      </c>
      <c r="F24" s="5">
        <v>1</v>
      </c>
      <c r="G24" s="5">
        <v>3</v>
      </c>
      <c r="H24" s="5">
        <f t="shared" si="1"/>
        <v>7</v>
      </c>
    </row>
    <row r="25" spans="1:8" ht="17" x14ac:dyDescent="0.2">
      <c r="A25" s="4">
        <v>29</v>
      </c>
      <c r="B25" s="4" t="s">
        <v>567</v>
      </c>
      <c r="C25" s="4">
        <v>2021</v>
      </c>
      <c r="D25" s="5">
        <v>2</v>
      </c>
      <c r="E25" s="5">
        <v>1</v>
      </c>
      <c r="F25" s="5">
        <v>3</v>
      </c>
      <c r="G25" s="5">
        <v>3</v>
      </c>
      <c r="H25" s="5">
        <f t="shared" si="1"/>
        <v>9</v>
      </c>
    </row>
    <row r="26" spans="1:8" ht="17" x14ac:dyDescent="0.2">
      <c r="A26" s="4">
        <v>30</v>
      </c>
      <c r="B26" s="4" t="s">
        <v>592</v>
      </c>
      <c r="C26" s="4">
        <v>2021</v>
      </c>
      <c r="D26" s="5">
        <v>2</v>
      </c>
      <c r="E26" s="5">
        <v>2</v>
      </c>
      <c r="F26" s="5">
        <v>2</v>
      </c>
      <c r="G26" s="5">
        <v>3</v>
      </c>
      <c r="H26" s="5">
        <f t="shared" si="1"/>
        <v>9</v>
      </c>
    </row>
    <row r="27" spans="1:8" ht="34" x14ac:dyDescent="0.2">
      <c r="A27" s="4">
        <v>30</v>
      </c>
      <c r="B27" s="4" t="s">
        <v>584</v>
      </c>
      <c r="C27" s="4">
        <v>2020</v>
      </c>
      <c r="D27" s="5">
        <v>2</v>
      </c>
      <c r="E27" s="5">
        <v>3</v>
      </c>
      <c r="F27" s="5">
        <v>2</v>
      </c>
      <c r="G27" s="5">
        <v>3</v>
      </c>
      <c r="H27" s="5">
        <f t="shared" si="1"/>
        <v>10</v>
      </c>
    </row>
    <row r="28" spans="1:8" ht="17" x14ac:dyDescent="0.2">
      <c r="A28" s="4">
        <v>30</v>
      </c>
      <c r="B28" s="4" t="s">
        <v>577</v>
      </c>
      <c r="C28" s="4">
        <v>2020</v>
      </c>
      <c r="D28" s="5">
        <v>2</v>
      </c>
      <c r="E28" s="5">
        <v>3</v>
      </c>
      <c r="F28" s="5">
        <v>3</v>
      </c>
      <c r="G28" s="5">
        <v>3</v>
      </c>
      <c r="H28" s="5">
        <f t="shared" si="1"/>
        <v>11</v>
      </c>
    </row>
    <row r="29" spans="1:8" s="5" customFormat="1" ht="17" x14ac:dyDescent="0.2">
      <c r="A29" s="5">
        <v>33</v>
      </c>
      <c r="B29" s="5" t="s">
        <v>600</v>
      </c>
      <c r="C29" s="5">
        <v>2022</v>
      </c>
      <c r="D29" s="5">
        <v>2</v>
      </c>
      <c r="E29" s="5">
        <v>2</v>
      </c>
      <c r="F29" s="5">
        <v>2</v>
      </c>
      <c r="G29" s="5">
        <v>3</v>
      </c>
      <c r="H29" s="5">
        <f t="shared" si="1"/>
        <v>9</v>
      </c>
    </row>
    <row r="30" spans="1:8" s="5" customFormat="1" ht="34" x14ac:dyDescent="0.2">
      <c r="A30" s="5">
        <v>36</v>
      </c>
      <c r="B30" s="5" t="s">
        <v>615</v>
      </c>
      <c r="C30" s="5">
        <v>2021</v>
      </c>
      <c r="D30" s="5">
        <v>3</v>
      </c>
      <c r="E30" s="5">
        <v>3</v>
      </c>
      <c r="F30" s="5">
        <v>2</v>
      </c>
      <c r="G30" s="5">
        <v>1</v>
      </c>
      <c r="H30" s="5">
        <f t="shared" si="1"/>
        <v>9</v>
      </c>
    </row>
    <row r="31" spans="1:8" s="5" customFormat="1" ht="34" x14ac:dyDescent="0.2">
      <c r="A31" s="5">
        <v>36</v>
      </c>
      <c r="B31" s="5" t="s">
        <v>619</v>
      </c>
      <c r="C31" s="5">
        <v>2021</v>
      </c>
      <c r="D31" s="5">
        <v>3</v>
      </c>
      <c r="E31" s="5">
        <v>3</v>
      </c>
      <c r="F31" s="5">
        <v>2</v>
      </c>
      <c r="G31" s="5">
        <v>1</v>
      </c>
      <c r="H31" s="5">
        <f t="shared" si="1"/>
        <v>9</v>
      </c>
    </row>
    <row r="32" spans="1:8" s="5" customFormat="1" ht="17" x14ac:dyDescent="0.2">
      <c r="A32" s="5">
        <v>48</v>
      </c>
      <c r="B32" s="5" t="s">
        <v>650</v>
      </c>
      <c r="C32" s="5">
        <v>2015</v>
      </c>
      <c r="D32" s="5">
        <v>2</v>
      </c>
      <c r="E32" s="5">
        <v>3</v>
      </c>
      <c r="F32" s="5">
        <v>3</v>
      </c>
      <c r="G32" s="5">
        <v>3</v>
      </c>
      <c r="H32" s="5">
        <f t="shared" si="1"/>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Demographics</vt:lpstr>
      <vt:lpstr>Diagnosis performance</vt:lpstr>
      <vt:lpstr>Hedges g</vt:lpstr>
      <vt:lpstr>Quality assessment</vt:lpstr>
      <vt:lpstr>Quality assesment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Yu</dc:creator>
  <cp:lastModifiedBy>Yu Chen</cp:lastModifiedBy>
  <dcterms:created xsi:type="dcterms:W3CDTF">2024-08-08T17:32:06Z</dcterms:created>
  <dcterms:modified xsi:type="dcterms:W3CDTF">2025-01-14T02:18:11Z</dcterms:modified>
</cp:coreProperties>
</file>